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6.xml" ContentType="application/vnd.openxmlformats-officedocument.drawing+xml"/>
  <Override PartName="/xl/charts/chart23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hruvi\Desktop\"/>
    </mc:Choice>
  </mc:AlternateContent>
  <bookViews>
    <workbookView minimized="1" xWindow="0" yWindow="0" windowWidth="11496" windowHeight="9048" firstSheet="1" activeTab="5"/>
  </bookViews>
  <sheets>
    <sheet name="Sheet1" sheetId="1" r:id="rId1"/>
    <sheet name="Sheet2" sheetId="8" r:id="rId2"/>
    <sheet name="Sheet3" sheetId="3" r:id="rId3"/>
    <sheet name="Sheet4" sheetId="9" r:id="rId4"/>
    <sheet name="Sheet5" sheetId="10" r:id="rId5"/>
    <sheet name="Sheet7" sheetId="7" r:id="rId6"/>
  </sheets>
  <definedNames>
    <definedName name="_xlnm._FilterDatabase" localSheetId="0" hidden="1">Sheet1!$A$1:$K$111</definedName>
  </definedNames>
  <calcPr calcId="162913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7" l="1"/>
  <c r="H2" i="7"/>
  <c r="D2" i="7"/>
  <c r="G2" i="7" s="1"/>
  <c r="E2" i="7" l="1"/>
  <c r="F2" i="7" s="1"/>
  <c r="I3" i="9" l="1"/>
  <c r="H3" i="10" l="1"/>
  <c r="J2" i="10"/>
  <c r="J3" i="10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I2" i="10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H2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G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7" i="10"/>
  <c r="E8" i="10"/>
  <c r="E9" i="10"/>
  <c r="E10" i="10"/>
  <c r="E11" i="10"/>
  <c r="E12" i="10"/>
  <c r="E13" i="10"/>
  <c r="E14" i="10"/>
  <c r="E3" i="10"/>
  <c r="E4" i="10"/>
  <c r="E5" i="10"/>
  <c r="E6" i="10"/>
  <c r="E2" i="10"/>
  <c r="D112" i="9"/>
  <c r="B10" i="7" l="1"/>
  <c r="C3" i="7"/>
  <c r="J12" i="8"/>
  <c r="I12" i="8"/>
  <c r="J11" i="8"/>
  <c r="I11" i="8"/>
  <c r="J10" i="8"/>
  <c r="I10" i="8"/>
  <c r="J9" i="8"/>
  <c r="I9" i="8"/>
  <c r="J8" i="8"/>
  <c r="I8" i="8"/>
  <c r="J7" i="8"/>
  <c r="I7" i="8"/>
  <c r="J6" i="8"/>
  <c r="I6" i="8"/>
  <c r="J5" i="8"/>
  <c r="I5" i="8"/>
  <c r="J4" i="8"/>
  <c r="I4" i="8"/>
  <c r="J3" i="8"/>
  <c r="I3" i="8"/>
  <c r="J2" i="8"/>
  <c r="I2" i="8"/>
  <c r="T8" i="1"/>
  <c r="T7" i="1"/>
  <c r="T5" i="1"/>
  <c r="T3" i="1"/>
  <c r="C4" i="7" l="1"/>
  <c r="H3" i="7"/>
  <c r="D3" i="7"/>
  <c r="T9" i="1"/>
  <c r="G3" i="7" l="1"/>
  <c r="E3" i="7"/>
  <c r="F3" i="7" s="1"/>
  <c r="C5" i="7"/>
  <c r="H4" i="7"/>
  <c r="D4" i="7"/>
  <c r="C6" i="7" l="1"/>
  <c r="H5" i="7"/>
  <c r="D5" i="7"/>
  <c r="G4" i="7"/>
  <c r="E4" i="7"/>
  <c r="F4" i="7" s="1"/>
  <c r="G5" i="7" l="1"/>
  <c r="E5" i="7"/>
  <c r="F5" i="7" s="1"/>
  <c r="C7" i="7"/>
  <c r="H6" i="7"/>
  <c r="D6" i="7"/>
  <c r="G6" i="7" l="1"/>
  <c r="E6" i="7"/>
  <c r="F6" i="7" s="1"/>
  <c r="C8" i="7"/>
  <c r="H7" i="7"/>
  <c r="D7" i="7"/>
  <c r="G7" i="7" l="1"/>
  <c r="E7" i="7"/>
  <c r="F7" i="7" s="1"/>
  <c r="C9" i="7"/>
  <c r="H8" i="7"/>
  <c r="D8" i="7"/>
  <c r="G8" i="7" l="1"/>
  <c r="E8" i="7"/>
  <c r="F8" i="7" s="1"/>
  <c r="H9" i="7"/>
  <c r="D9" i="7"/>
  <c r="C10" i="7"/>
  <c r="C11" i="7" l="1"/>
  <c r="H10" i="7"/>
  <c r="D10" i="7"/>
  <c r="G9" i="7"/>
  <c r="E9" i="7"/>
  <c r="F9" i="7" s="1"/>
  <c r="G10" i="7" l="1"/>
  <c r="E10" i="7"/>
  <c r="C12" i="7"/>
  <c r="H11" i="7"/>
  <c r="D11" i="7"/>
  <c r="G11" i="7" l="1"/>
  <c r="E11" i="7"/>
  <c r="F11" i="7" s="1"/>
  <c r="C13" i="7"/>
  <c r="H12" i="7"/>
  <c r="D12" i="7"/>
  <c r="G12" i="7" l="1"/>
  <c r="E12" i="7"/>
  <c r="F12" i="7" s="1"/>
  <c r="B14" i="7"/>
  <c r="H13" i="7"/>
  <c r="D13" i="7"/>
  <c r="G13" i="7" l="1"/>
  <c r="E13" i="7"/>
  <c r="F13" i="7" s="1"/>
</calcChain>
</file>

<file path=xl/sharedStrings.xml><?xml version="1.0" encoding="utf-8"?>
<sst xmlns="http://schemas.openxmlformats.org/spreadsheetml/2006/main" count="536" uniqueCount="95">
  <si>
    <t>Date</t>
  </si>
  <si>
    <t>Category</t>
  </si>
  <si>
    <t>Amount</t>
  </si>
  <si>
    <t>Food</t>
  </si>
  <si>
    <t>Household</t>
  </si>
  <si>
    <t>Other</t>
  </si>
  <si>
    <t>Transportation</t>
  </si>
  <si>
    <t>Apparel</t>
  </si>
  <si>
    <t>Social Life</t>
  </si>
  <si>
    <t>q1</t>
  </si>
  <si>
    <t>q3</t>
  </si>
  <si>
    <t>iqr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</si>
  <si>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</si>
  <si>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</si>
  <si>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</si>
  <si>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</si>
  <si>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</si>
  <si>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</si>
  <si>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</si>
  <si>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</si>
  <si>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</si>
  <si>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</si>
  <si>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</si>
  <si>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</si>
  <si>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</si>
  <si>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</si>
  <si>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Mean absolute deviation</t>
  </si>
  <si>
    <t>Mean Squared deviation</t>
  </si>
  <si>
    <t>Row Labels</t>
  </si>
  <si>
    <t>Grand Total</t>
  </si>
  <si>
    <t>Sum of Amount</t>
  </si>
  <si>
    <t>Column Labels</t>
  </si>
  <si>
    <t>Jan</t>
  </si>
  <si>
    <t>Feb</t>
  </si>
  <si>
    <t>Mar</t>
  </si>
  <si>
    <t>Apr</t>
  </si>
  <si>
    <t>May</t>
  </si>
  <si>
    <t>Jun</t>
  </si>
  <si>
    <t>Jul</t>
  </si>
  <si>
    <t>Aug</t>
  </si>
  <si>
    <t>Oct</t>
  </si>
  <si>
    <t>Nov</t>
  </si>
  <si>
    <t>Dec</t>
  </si>
  <si>
    <t>Count of Amount</t>
  </si>
  <si>
    <t>Sep</t>
  </si>
  <si>
    <t>MONTH</t>
  </si>
  <si>
    <t>TOTAL EXPENSE</t>
  </si>
  <si>
    <t>monthly transaction spent per category from most to least total expense</t>
  </si>
  <si>
    <t xml:space="preserve">count of monthly transaction per category </t>
  </si>
  <si>
    <t>EMA</t>
  </si>
  <si>
    <t>Variance</t>
  </si>
  <si>
    <t>Deviation</t>
  </si>
  <si>
    <t>StdDev of Amount</t>
  </si>
  <si>
    <t>Month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</si>
  <si>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</si>
  <si>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</si>
  <si>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</si>
  <si>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</si>
  <si>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</si>
  <si>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</si>
  <si>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</si>
  <si>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</si>
  <si>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</si>
  <si>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</si>
  <si>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</si>
  <si>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</si>
  <si>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</si>
  <si>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</si>
  <si>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</si>
  <si>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</si>
  <si>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</si>
  <si>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</si>
  <si>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</si>
  <si>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</si>
  <si>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</si>
  <si>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</si>
  <si>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</si>
  <si>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Correlation</t>
  </si>
  <si>
    <t>Date2</t>
  </si>
  <si>
    <t>other</t>
  </si>
  <si>
    <t xml:space="preserve">Social life </t>
  </si>
  <si>
    <t>numeric data</t>
  </si>
  <si>
    <t>Social life</t>
  </si>
  <si>
    <t>X Variable 1</t>
  </si>
  <si>
    <t>X Variable 2</t>
  </si>
  <si>
    <t>X Variable 3</t>
  </si>
  <si>
    <t>X Variable 4</t>
  </si>
  <si>
    <t>X Variable 5</t>
  </si>
  <si>
    <t>X Variable 6</t>
  </si>
  <si>
    <t>X Variable 7</t>
  </si>
  <si>
    <t>error</t>
  </si>
  <si>
    <t>mse</t>
  </si>
  <si>
    <t>rmse</t>
  </si>
  <si>
    <t>mae</t>
  </si>
  <si>
    <t>r^2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</si>
</sst>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16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0" xfId="0" applyFill="1" applyBorder="1" applyAlignment="1"/>
    <xf numFmtId="0" fontId="0" fillId="0" borderId="4" xfId="0" applyFill="1" applyBorder="1" applyAlignment="1"/>
    <xf numFmtId="0" fontId="2" fillId="0" borderId="5" xfId="0" applyFont="1" applyFill="1" applyBorder="1" applyAlignment="1">
      <alignment horizontal="centerContinuous"/>
    </xf>
    <xf numFmtId="0" fontId="1" fillId="2" borderId="0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Font="1" applyBorder="1" applyAlignment="1">
      <alignment horizontal="center"/>
    </xf>
    <xf numFmtId="17" fontId="0" fillId="0" borderId="0" xfId="0" applyNumberFormat="1"/>
    <xf numFmtId="2" fontId="0" fillId="0" borderId="1" xfId="0" applyNumberFormat="1" applyFont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14" fontId="0" fillId="0" borderId="2" xfId="0" applyNumberFormat="1" applyFont="1" applyBorder="1" applyAlignment="1">
      <alignment horizontal="center"/>
    </xf>
    <xf numFmtId="2" fontId="1" fillId="2" borderId="6" xfId="0" applyNumberFormat="1" applyFont="1" applyFill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0" xfId="0" applyAlignment="1">
      <alignment horizontal="right"/>
    </xf>
    <xf numFmtId="2" fontId="0" fillId="0" borderId="2" xfId="0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CENTRAL TENDENCY OF DATA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55615883911692"/>
          <c:y val="0.16784994312786797"/>
          <c:w val="0.83736145941111484"/>
          <c:h val="0.61338762990797979"/>
        </c:manualLayout>
      </c:layout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Amount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Sheet1!$A$2:$A$111</c:f>
              <c:numCache>
                <c:formatCode>m/d/yyyy</c:formatCode>
                <c:ptCount val="110"/>
                <c:pt idx="0">
                  <c:v>44562</c:v>
                </c:pt>
                <c:pt idx="1">
                  <c:v>44564</c:v>
                </c:pt>
                <c:pt idx="2">
                  <c:v>44564</c:v>
                </c:pt>
                <c:pt idx="3">
                  <c:v>44564</c:v>
                </c:pt>
                <c:pt idx="4">
                  <c:v>44574</c:v>
                </c:pt>
                <c:pt idx="5">
                  <c:v>44574</c:v>
                </c:pt>
                <c:pt idx="6">
                  <c:v>44576</c:v>
                </c:pt>
                <c:pt idx="7">
                  <c:v>44578</c:v>
                </c:pt>
                <c:pt idx="8">
                  <c:v>44579</c:v>
                </c:pt>
                <c:pt idx="9">
                  <c:v>44579</c:v>
                </c:pt>
                <c:pt idx="10">
                  <c:v>44579</c:v>
                </c:pt>
                <c:pt idx="11">
                  <c:v>44579</c:v>
                </c:pt>
                <c:pt idx="12">
                  <c:v>44580</c:v>
                </c:pt>
                <c:pt idx="13">
                  <c:v>44582</c:v>
                </c:pt>
                <c:pt idx="14">
                  <c:v>44582</c:v>
                </c:pt>
                <c:pt idx="15">
                  <c:v>44584</c:v>
                </c:pt>
                <c:pt idx="16">
                  <c:v>44584</c:v>
                </c:pt>
                <c:pt idx="17">
                  <c:v>44584</c:v>
                </c:pt>
                <c:pt idx="18">
                  <c:v>44584</c:v>
                </c:pt>
                <c:pt idx="19">
                  <c:v>44584</c:v>
                </c:pt>
                <c:pt idx="20">
                  <c:v>44584</c:v>
                </c:pt>
                <c:pt idx="21">
                  <c:v>44585</c:v>
                </c:pt>
                <c:pt idx="22">
                  <c:v>44585</c:v>
                </c:pt>
                <c:pt idx="23">
                  <c:v>44586</c:v>
                </c:pt>
                <c:pt idx="24">
                  <c:v>44586</c:v>
                </c:pt>
                <c:pt idx="25">
                  <c:v>44586</c:v>
                </c:pt>
                <c:pt idx="26">
                  <c:v>44587</c:v>
                </c:pt>
                <c:pt idx="27">
                  <c:v>44587</c:v>
                </c:pt>
                <c:pt idx="28">
                  <c:v>44588</c:v>
                </c:pt>
                <c:pt idx="29">
                  <c:v>44588</c:v>
                </c:pt>
                <c:pt idx="30">
                  <c:v>44588</c:v>
                </c:pt>
                <c:pt idx="31">
                  <c:v>44588</c:v>
                </c:pt>
                <c:pt idx="32">
                  <c:v>44589</c:v>
                </c:pt>
                <c:pt idx="33">
                  <c:v>44589</c:v>
                </c:pt>
                <c:pt idx="34">
                  <c:v>44590</c:v>
                </c:pt>
                <c:pt idx="35">
                  <c:v>44590</c:v>
                </c:pt>
                <c:pt idx="36">
                  <c:v>44591</c:v>
                </c:pt>
                <c:pt idx="37">
                  <c:v>44591</c:v>
                </c:pt>
                <c:pt idx="38">
                  <c:v>44591</c:v>
                </c:pt>
                <c:pt idx="39">
                  <c:v>44592</c:v>
                </c:pt>
                <c:pt idx="40">
                  <c:v>44592</c:v>
                </c:pt>
                <c:pt idx="41">
                  <c:v>44592</c:v>
                </c:pt>
                <c:pt idx="42">
                  <c:v>44593</c:v>
                </c:pt>
                <c:pt idx="43">
                  <c:v>44593</c:v>
                </c:pt>
                <c:pt idx="44">
                  <c:v>44594</c:v>
                </c:pt>
                <c:pt idx="45">
                  <c:v>44595</c:v>
                </c:pt>
                <c:pt idx="46">
                  <c:v>44595</c:v>
                </c:pt>
                <c:pt idx="47">
                  <c:v>44605</c:v>
                </c:pt>
                <c:pt idx="48">
                  <c:v>44608</c:v>
                </c:pt>
                <c:pt idx="49">
                  <c:v>44608</c:v>
                </c:pt>
                <c:pt idx="50">
                  <c:v>44609</c:v>
                </c:pt>
                <c:pt idx="51">
                  <c:v>44610</c:v>
                </c:pt>
                <c:pt idx="52">
                  <c:v>44611</c:v>
                </c:pt>
                <c:pt idx="53">
                  <c:v>44611</c:v>
                </c:pt>
                <c:pt idx="54">
                  <c:v>44611</c:v>
                </c:pt>
                <c:pt idx="55">
                  <c:v>44611</c:v>
                </c:pt>
                <c:pt idx="56">
                  <c:v>44611</c:v>
                </c:pt>
                <c:pt idx="57">
                  <c:v>44611</c:v>
                </c:pt>
                <c:pt idx="58">
                  <c:v>44611</c:v>
                </c:pt>
                <c:pt idx="59">
                  <c:v>44612</c:v>
                </c:pt>
                <c:pt idx="60">
                  <c:v>44613</c:v>
                </c:pt>
                <c:pt idx="61">
                  <c:v>44613</c:v>
                </c:pt>
                <c:pt idx="62">
                  <c:v>44613</c:v>
                </c:pt>
                <c:pt idx="63">
                  <c:v>44614</c:v>
                </c:pt>
                <c:pt idx="64">
                  <c:v>44615</c:v>
                </c:pt>
                <c:pt idx="65">
                  <c:v>44615</c:v>
                </c:pt>
                <c:pt idx="66">
                  <c:v>44615</c:v>
                </c:pt>
                <c:pt idx="67">
                  <c:v>44616</c:v>
                </c:pt>
                <c:pt idx="68">
                  <c:v>44616</c:v>
                </c:pt>
                <c:pt idx="69">
                  <c:v>44616</c:v>
                </c:pt>
                <c:pt idx="70">
                  <c:v>44617</c:v>
                </c:pt>
                <c:pt idx="71">
                  <c:v>44618</c:v>
                </c:pt>
                <c:pt idx="72">
                  <c:v>44618</c:v>
                </c:pt>
                <c:pt idx="73">
                  <c:v>44618</c:v>
                </c:pt>
                <c:pt idx="74">
                  <c:v>44618</c:v>
                </c:pt>
                <c:pt idx="75">
                  <c:v>44619</c:v>
                </c:pt>
                <c:pt idx="76">
                  <c:v>44620</c:v>
                </c:pt>
                <c:pt idx="77">
                  <c:v>44621</c:v>
                </c:pt>
                <c:pt idx="78">
                  <c:v>44621</c:v>
                </c:pt>
                <c:pt idx="79">
                  <c:v>44622</c:v>
                </c:pt>
                <c:pt idx="80">
                  <c:v>44622</c:v>
                </c:pt>
                <c:pt idx="81">
                  <c:v>44652</c:v>
                </c:pt>
                <c:pt idx="82">
                  <c:v>44652</c:v>
                </c:pt>
                <c:pt idx="83">
                  <c:v>44652</c:v>
                </c:pt>
                <c:pt idx="84">
                  <c:v>44653</c:v>
                </c:pt>
                <c:pt idx="85">
                  <c:v>44682</c:v>
                </c:pt>
                <c:pt idx="86">
                  <c:v>44682</c:v>
                </c:pt>
                <c:pt idx="87">
                  <c:v>44682</c:v>
                </c:pt>
                <c:pt idx="88">
                  <c:v>44682</c:v>
                </c:pt>
                <c:pt idx="89">
                  <c:v>44682</c:v>
                </c:pt>
                <c:pt idx="90">
                  <c:v>44682</c:v>
                </c:pt>
                <c:pt idx="91">
                  <c:v>44682</c:v>
                </c:pt>
                <c:pt idx="92">
                  <c:v>44682</c:v>
                </c:pt>
                <c:pt idx="93">
                  <c:v>44713</c:v>
                </c:pt>
                <c:pt idx="94">
                  <c:v>44713</c:v>
                </c:pt>
                <c:pt idx="95">
                  <c:v>44713</c:v>
                </c:pt>
                <c:pt idx="96">
                  <c:v>44714</c:v>
                </c:pt>
                <c:pt idx="97">
                  <c:v>44714</c:v>
                </c:pt>
                <c:pt idx="98">
                  <c:v>44743</c:v>
                </c:pt>
                <c:pt idx="99">
                  <c:v>44744</c:v>
                </c:pt>
                <c:pt idx="100">
                  <c:v>44774</c:v>
                </c:pt>
                <c:pt idx="101">
                  <c:v>44835</c:v>
                </c:pt>
                <c:pt idx="102">
                  <c:v>44836</c:v>
                </c:pt>
                <c:pt idx="103">
                  <c:v>44866</c:v>
                </c:pt>
                <c:pt idx="104">
                  <c:v>44867</c:v>
                </c:pt>
                <c:pt idx="105">
                  <c:v>44896</c:v>
                </c:pt>
                <c:pt idx="106">
                  <c:v>44896</c:v>
                </c:pt>
                <c:pt idx="107">
                  <c:v>44897</c:v>
                </c:pt>
                <c:pt idx="108">
                  <c:v>44897</c:v>
                </c:pt>
                <c:pt idx="109">
                  <c:v>44897</c:v>
                </c:pt>
              </c:numCache>
            </c:numRef>
          </c:cat>
          <c:val>
            <c:numRef>
              <c:f>Sheet1!$C$2:$C$111</c:f>
              <c:numCache>
                <c:formatCode>General</c:formatCode>
                <c:ptCount val="110"/>
                <c:pt idx="0">
                  <c:v>85</c:v>
                </c:pt>
                <c:pt idx="1">
                  <c:v>78</c:v>
                </c:pt>
                <c:pt idx="2">
                  <c:v>30</c:v>
                </c:pt>
                <c:pt idx="3">
                  <c:v>67</c:v>
                </c:pt>
                <c:pt idx="4">
                  <c:v>66</c:v>
                </c:pt>
                <c:pt idx="5">
                  <c:v>43</c:v>
                </c:pt>
                <c:pt idx="6">
                  <c:v>70</c:v>
                </c:pt>
                <c:pt idx="7">
                  <c:v>100</c:v>
                </c:pt>
                <c:pt idx="8">
                  <c:v>301.14999999999998</c:v>
                </c:pt>
                <c:pt idx="9">
                  <c:v>59</c:v>
                </c:pt>
                <c:pt idx="10">
                  <c:v>148</c:v>
                </c:pt>
                <c:pt idx="11">
                  <c:v>200</c:v>
                </c:pt>
                <c:pt idx="12">
                  <c:v>171</c:v>
                </c:pt>
                <c:pt idx="13">
                  <c:v>188</c:v>
                </c:pt>
                <c:pt idx="14">
                  <c:v>37</c:v>
                </c:pt>
                <c:pt idx="15">
                  <c:v>40</c:v>
                </c:pt>
                <c:pt idx="16">
                  <c:v>465</c:v>
                </c:pt>
                <c:pt idx="17">
                  <c:v>300</c:v>
                </c:pt>
                <c:pt idx="18">
                  <c:v>302</c:v>
                </c:pt>
                <c:pt idx="19">
                  <c:v>176</c:v>
                </c:pt>
                <c:pt idx="20">
                  <c:v>200</c:v>
                </c:pt>
                <c:pt idx="21">
                  <c:v>40</c:v>
                </c:pt>
                <c:pt idx="22">
                  <c:v>133</c:v>
                </c:pt>
                <c:pt idx="23">
                  <c:v>259</c:v>
                </c:pt>
                <c:pt idx="24">
                  <c:v>18</c:v>
                </c:pt>
                <c:pt idx="25">
                  <c:v>325</c:v>
                </c:pt>
                <c:pt idx="26">
                  <c:v>115</c:v>
                </c:pt>
                <c:pt idx="27">
                  <c:v>25</c:v>
                </c:pt>
                <c:pt idx="28">
                  <c:v>43</c:v>
                </c:pt>
                <c:pt idx="29">
                  <c:v>300</c:v>
                </c:pt>
                <c:pt idx="30">
                  <c:v>100</c:v>
                </c:pt>
                <c:pt idx="31">
                  <c:v>279</c:v>
                </c:pt>
                <c:pt idx="32">
                  <c:v>10</c:v>
                </c:pt>
                <c:pt idx="33">
                  <c:v>138</c:v>
                </c:pt>
                <c:pt idx="34">
                  <c:v>44</c:v>
                </c:pt>
                <c:pt idx="35">
                  <c:v>100</c:v>
                </c:pt>
                <c:pt idx="36">
                  <c:v>155</c:v>
                </c:pt>
                <c:pt idx="37">
                  <c:v>120</c:v>
                </c:pt>
                <c:pt idx="38">
                  <c:v>105</c:v>
                </c:pt>
                <c:pt idx="39">
                  <c:v>50</c:v>
                </c:pt>
                <c:pt idx="40">
                  <c:v>200</c:v>
                </c:pt>
                <c:pt idx="41">
                  <c:v>153</c:v>
                </c:pt>
                <c:pt idx="42">
                  <c:v>8</c:v>
                </c:pt>
                <c:pt idx="43">
                  <c:v>200</c:v>
                </c:pt>
                <c:pt idx="44">
                  <c:v>120</c:v>
                </c:pt>
                <c:pt idx="45">
                  <c:v>50</c:v>
                </c:pt>
                <c:pt idx="46">
                  <c:v>300</c:v>
                </c:pt>
                <c:pt idx="47">
                  <c:v>100</c:v>
                </c:pt>
                <c:pt idx="48">
                  <c:v>165</c:v>
                </c:pt>
                <c:pt idx="49">
                  <c:v>475</c:v>
                </c:pt>
                <c:pt idx="50">
                  <c:v>80</c:v>
                </c:pt>
                <c:pt idx="51">
                  <c:v>348</c:v>
                </c:pt>
                <c:pt idx="52">
                  <c:v>111</c:v>
                </c:pt>
                <c:pt idx="53">
                  <c:v>250</c:v>
                </c:pt>
                <c:pt idx="54">
                  <c:v>200</c:v>
                </c:pt>
                <c:pt idx="55">
                  <c:v>380</c:v>
                </c:pt>
                <c:pt idx="56">
                  <c:v>60</c:v>
                </c:pt>
                <c:pt idx="57">
                  <c:v>50</c:v>
                </c:pt>
                <c:pt idx="58">
                  <c:v>270</c:v>
                </c:pt>
                <c:pt idx="59">
                  <c:v>200</c:v>
                </c:pt>
                <c:pt idx="60">
                  <c:v>138</c:v>
                </c:pt>
                <c:pt idx="61">
                  <c:v>336</c:v>
                </c:pt>
                <c:pt idx="62">
                  <c:v>201.8</c:v>
                </c:pt>
                <c:pt idx="63">
                  <c:v>120</c:v>
                </c:pt>
                <c:pt idx="64">
                  <c:v>399</c:v>
                </c:pt>
                <c:pt idx="65">
                  <c:v>83</c:v>
                </c:pt>
                <c:pt idx="66">
                  <c:v>399</c:v>
                </c:pt>
                <c:pt idx="67">
                  <c:v>303</c:v>
                </c:pt>
                <c:pt idx="68">
                  <c:v>289</c:v>
                </c:pt>
                <c:pt idx="69">
                  <c:v>324.7</c:v>
                </c:pt>
                <c:pt idx="70">
                  <c:v>33</c:v>
                </c:pt>
                <c:pt idx="71">
                  <c:v>25</c:v>
                </c:pt>
                <c:pt idx="72">
                  <c:v>100</c:v>
                </c:pt>
                <c:pt idx="73">
                  <c:v>40</c:v>
                </c:pt>
                <c:pt idx="74">
                  <c:v>84</c:v>
                </c:pt>
                <c:pt idx="75">
                  <c:v>243</c:v>
                </c:pt>
                <c:pt idx="76">
                  <c:v>339.15</c:v>
                </c:pt>
                <c:pt idx="77">
                  <c:v>10</c:v>
                </c:pt>
                <c:pt idx="78">
                  <c:v>300</c:v>
                </c:pt>
                <c:pt idx="79">
                  <c:v>50</c:v>
                </c:pt>
                <c:pt idx="80">
                  <c:v>150</c:v>
                </c:pt>
                <c:pt idx="81">
                  <c:v>106</c:v>
                </c:pt>
                <c:pt idx="82">
                  <c:v>80</c:v>
                </c:pt>
                <c:pt idx="83">
                  <c:v>107</c:v>
                </c:pt>
                <c:pt idx="84">
                  <c:v>80</c:v>
                </c:pt>
                <c:pt idx="85">
                  <c:v>211</c:v>
                </c:pt>
                <c:pt idx="86">
                  <c:v>40</c:v>
                </c:pt>
                <c:pt idx="87">
                  <c:v>30</c:v>
                </c:pt>
                <c:pt idx="88">
                  <c:v>354</c:v>
                </c:pt>
                <c:pt idx="89">
                  <c:v>500</c:v>
                </c:pt>
                <c:pt idx="90">
                  <c:v>500</c:v>
                </c:pt>
                <c:pt idx="91">
                  <c:v>60</c:v>
                </c:pt>
                <c:pt idx="92">
                  <c:v>388</c:v>
                </c:pt>
                <c:pt idx="93">
                  <c:v>20</c:v>
                </c:pt>
                <c:pt idx="94">
                  <c:v>10</c:v>
                </c:pt>
                <c:pt idx="95">
                  <c:v>42</c:v>
                </c:pt>
                <c:pt idx="96">
                  <c:v>125</c:v>
                </c:pt>
                <c:pt idx="97">
                  <c:v>150</c:v>
                </c:pt>
                <c:pt idx="98">
                  <c:v>15</c:v>
                </c:pt>
                <c:pt idx="99">
                  <c:v>214</c:v>
                </c:pt>
                <c:pt idx="100">
                  <c:v>535.29999999999995</c:v>
                </c:pt>
                <c:pt idx="101">
                  <c:v>106</c:v>
                </c:pt>
                <c:pt idx="102">
                  <c:v>641</c:v>
                </c:pt>
                <c:pt idx="103">
                  <c:v>135.5</c:v>
                </c:pt>
                <c:pt idx="104">
                  <c:v>373</c:v>
                </c:pt>
                <c:pt idx="105">
                  <c:v>479</c:v>
                </c:pt>
                <c:pt idx="106">
                  <c:v>301.75</c:v>
                </c:pt>
                <c:pt idx="107">
                  <c:v>491</c:v>
                </c:pt>
                <c:pt idx="108">
                  <c:v>70</c:v>
                </c:pt>
                <c:pt idx="109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5F-4142-9E99-7E0A01C82D70}"/>
            </c:ext>
          </c:extLst>
        </c:ser>
        <c:ser>
          <c:idx val="1"/>
          <c:order val="1"/>
          <c:tx>
            <c:v>Mean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Sheet1!$F$2:$F$111</c:f>
              <c:numCache>
                <c:formatCode>General</c:formatCode>
                <c:ptCount val="110"/>
                <c:pt idx="0">
                  <c:v>176.52136363636365</c:v>
                </c:pt>
                <c:pt idx="1">
                  <c:v>176.52136363636365</c:v>
                </c:pt>
                <c:pt idx="2">
                  <c:v>176.52136363636365</c:v>
                </c:pt>
                <c:pt idx="3">
                  <c:v>176.52136363636365</c:v>
                </c:pt>
                <c:pt idx="4">
                  <c:v>176.52136363636365</c:v>
                </c:pt>
                <c:pt idx="5">
                  <c:v>176.52136363636365</c:v>
                </c:pt>
                <c:pt idx="6">
                  <c:v>176.52136363636365</c:v>
                </c:pt>
                <c:pt idx="7">
                  <c:v>176.52136363636365</c:v>
                </c:pt>
                <c:pt idx="8">
                  <c:v>176.52136363636365</c:v>
                </c:pt>
                <c:pt idx="9">
                  <c:v>176.52136363636365</c:v>
                </c:pt>
                <c:pt idx="10">
                  <c:v>176.52136363636365</c:v>
                </c:pt>
                <c:pt idx="11">
                  <c:v>176.52136363636365</c:v>
                </c:pt>
                <c:pt idx="12">
                  <c:v>176.52136363636365</c:v>
                </c:pt>
                <c:pt idx="13">
                  <c:v>176.52136363636365</c:v>
                </c:pt>
                <c:pt idx="14">
                  <c:v>176.52136363636365</c:v>
                </c:pt>
                <c:pt idx="15">
                  <c:v>176.52136363636365</c:v>
                </c:pt>
                <c:pt idx="16">
                  <c:v>176.52136363636365</c:v>
                </c:pt>
                <c:pt idx="17">
                  <c:v>176.52136363636365</c:v>
                </c:pt>
                <c:pt idx="18">
                  <c:v>176.52136363636365</c:v>
                </c:pt>
                <c:pt idx="19">
                  <c:v>176.52136363636365</c:v>
                </c:pt>
                <c:pt idx="20">
                  <c:v>176.52136363636365</c:v>
                </c:pt>
                <c:pt idx="21">
                  <c:v>176.52136363636365</c:v>
                </c:pt>
                <c:pt idx="22">
                  <c:v>176.52136363636365</c:v>
                </c:pt>
                <c:pt idx="23">
                  <c:v>176.52136363636365</c:v>
                </c:pt>
                <c:pt idx="24">
                  <c:v>176.52136363636365</c:v>
                </c:pt>
                <c:pt idx="25">
                  <c:v>176.52136363636365</c:v>
                </c:pt>
                <c:pt idx="26">
                  <c:v>176.52136363636365</c:v>
                </c:pt>
                <c:pt idx="27">
                  <c:v>176.52136363636365</c:v>
                </c:pt>
                <c:pt idx="28">
                  <c:v>176.52136363636365</c:v>
                </c:pt>
                <c:pt idx="29">
                  <c:v>176.52136363636365</c:v>
                </c:pt>
                <c:pt idx="30">
                  <c:v>176.52136363636365</c:v>
                </c:pt>
                <c:pt idx="31">
                  <c:v>176.52136363636365</c:v>
                </c:pt>
                <c:pt idx="32">
                  <c:v>176.52136363636365</c:v>
                </c:pt>
                <c:pt idx="33">
                  <c:v>176.52136363636365</c:v>
                </c:pt>
                <c:pt idx="34">
                  <c:v>176.52136363636365</c:v>
                </c:pt>
                <c:pt idx="35">
                  <c:v>176.52136363636365</c:v>
                </c:pt>
                <c:pt idx="36">
                  <c:v>176.52136363636365</c:v>
                </c:pt>
                <c:pt idx="37">
                  <c:v>176.52136363636365</c:v>
                </c:pt>
                <c:pt idx="38">
                  <c:v>176.52136363636365</c:v>
                </c:pt>
                <c:pt idx="39">
                  <c:v>176.52136363636365</c:v>
                </c:pt>
                <c:pt idx="40">
                  <c:v>176.52136363636365</c:v>
                </c:pt>
                <c:pt idx="41">
                  <c:v>176.52136363636365</c:v>
                </c:pt>
                <c:pt idx="42">
                  <c:v>176.52136363636365</c:v>
                </c:pt>
                <c:pt idx="43">
                  <c:v>176.52136363636365</c:v>
                </c:pt>
                <c:pt idx="44">
                  <c:v>176.52136363636365</c:v>
                </c:pt>
                <c:pt idx="45">
                  <c:v>176.52136363636365</c:v>
                </c:pt>
                <c:pt idx="46">
                  <c:v>176.52136363636365</c:v>
                </c:pt>
                <c:pt idx="47">
                  <c:v>176.52136363636365</c:v>
                </c:pt>
                <c:pt idx="48">
                  <c:v>176.52136363636365</c:v>
                </c:pt>
                <c:pt idx="49">
                  <c:v>176.52136363636365</c:v>
                </c:pt>
                <c:pt idx="50">
                  <c:v>176.52136363636365</c:v>
                </c:pt>
                <c:pt idx="51">
                  <c:v>176.52136363636365</c:v>
                </c:pt>
                <c:pt idx="52">
                  <c:v>176.52136363636365</c:v>
                </c:pt>
                <c:pt idx="53">
                  <c:v>176.52136363636365</c:v>
                </c:pt>
                <c:pt idx="54">
                  <c:v>176.52136363636365</c:v>
                </c:pt>
                <c:pt idx="55">
                  <c:v>176.52136363636365</c:v>
                </c:pt>
                <c:pt idx="56">
                  <c:v>176.52136363636365</c:v>
                </c:pt>
                <c:pt idx="57">
                  <c:v>176.52136363636365</c:v>
                </c:pt>
                <c:pt idx="58">
                  <c:v>176.52136363636365</c:v>
                </c:pt>
                <c:pt idx="59">
                  <c:v>176.52136363636365</c:v>
                </c:pt>
                <c:pt idx="60">
                  <c:v>176.52136363636365</c:v>
                </c:pt>
                <c:pt idx="61">
                  <c:v>176.52136363636365</c:v>
                </c:pt>
                <c:pt idx="62">
                  <c:v>176.52136363636365</c:v>
                </c:pt>
                <c:pt idx="63">
                  <c:v>176.52136363636365</c:v>
                </c:pt>
                <c:pt idx="64">
                  <c:v>176.52136363636365</c:v>
                </c:pt>
                <c:pt idx="65">
                  <c:v>176.52136363636365</c:v>
                </c:pt>
                <c:pt idx="66">
                  <c:v>176.52136363636365</c:v>
                </c:pt>
                <c:pt idx="67">
                  <c:v>176.52136363636365</c:v>
                </c:pt>
                <c:pt idx="68">
                  <c:v>176.52136363636365</c:v>
                </c:pt>
                <c:pt idx="69">
                  <c:v>176.52136363636365</c:v>
                </c:pt>
                <c:pt idx="70">
                  <c:v>176.52136363636365</c:v>
                </c:pt>
                <c:pt idx="71">
                  <c:v>176.52136363636365</c:v>
                </c:pt>
                <c:pt idx="72">
                  <c:v>176.52136363636365</c:v>
                </c:pt>
                <c:pt idx="73">
                  <c:v>176.52136363636365</c:v>
                </c:pt>
                <c:pt idx="74">
                  <c:v>176.52136363636365</c:v>
                </c:pt>
                <c:pt idx="75">
                  <c:v>176.52136363636365</c:v>
                </c:pt>
                <c:pt idx="76">
                  <c:v>176.52136363636365</c:v>
                </c:pt>
                <c:pt idx="77">
                  <c:v>176.52136363636365</c:v>
                </c:pt>
                <c:pt idx="78">
                  <c:v>176.52136363636365</c:v>
                </c:pt>
                <c:pt idx="79">
                  <c:v>176.52136363636365</c:v>
                </c:pt>
                <c:pt idx="80">
                  <c:v>176.52136363636365</c:v>
                </c:pt>
                <c:pt idx="81">
                  <c:v>176.52136363636365</c:v>
                </c:pt>
                <c:pt idx="82">
                  <c:v>176.52136363636365</c:v>
                </c:pt>
                <c:pt idx="83">
                  <c:v>176.52136363636365</c:v>
                </c:pt>
                <c:pt idx="84">
                  <c:v>176.52136363636365</c:v>
                </c:pt>
                <c:pt idx="85">
                  <c:v>176.52136363636365</c:v>
                </c:pt>
                <c:pt idx="86">
                  <c:v>176.52136363636365</c:v>
                </c:pt>
                <c:pt idx="87">
                  <c:v>176.52136363636365</c:v>
                </c:pt>
                <c:pt idx="88">
                  <c:v>176.52136363636365</c:v>
                </c:pt>
                <c:pt idx="89">
                  <c:v>176.52136363636365</c:v>
                </c:pt>
                <c:pt idx="90">
                  <c:v>176.52136363636365</c:v>
                </c:pt>
                <c:pt idx="91">
                  <c:v>176.52136363636365</c:v>
                </c:pt>
                <c:pt idx="92">
                  <c:v>176.52136363636365</c:v>
                </c:pt>
                <c:pt idx="93">
                  <c:v>176.52136363636365</c:v>
                </c:pt>
                <c:pt idx="94">
                  <c:v>176.52136363636365</c:v>
                </c:pt>
                <c:pt idx="95">
                  <c:v>176.52136363636365</c:v>
                </c:pt>
                <c:pt idx="96">
                  <c:v>176.52136363636365</c:v>
                </c:pt>
                <c:pt idx="97">
                  <c:v>176.52136363636365</c:v>
                </c:pt>
                <c:pt idx="98">
                  <c:v>176.52136363636365</c:v>
                </c:pt>
                <c:pt idx="99">
                  <c:v>176.52136363636365</c:v>
                </c:pt>
                <c:pt idx="100">
                  <c:v>176.52136363636365</c:v>
                </c:pt>
                <c:pt idx="101">
                  <c:v>176.52136363636365</c:v>
                </c:pt>
                <c:pt idx="102">
                  <c:v>176.52136363636365</c:v>
                </c:pt>
                <c:pt idx="103">
                  <c:v>176.52136363636365</c:v>
                </c:pt>
                <c:pt idx="104">
                  <c:v>176.52136363636365</c:v>
                </c:pt>
                <c:pt idx="105">
                  <c:v>176.52136363636365</c:v>
                </c:pt>
                <c:pt idx="106">
                  <c:v>176.52136363636365</c:v>
                </c:pt>
                <c:pt idx="107">
                  <c:v>176.52136363636365</c:v>
                </c:pt>
                <c:pt idx="108">
                  <c:v>176.52136363636365</c:v>
                </c:pt>
                <c:pt idx="109">
                  <c:v>176.52136363636365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5F-4142-9E99-7E0A01C82D70}"/>
            </c:ext>
          </c:extLst>
        </c:ser>
        <c:ser>
          <c:idx val="2"/>
          <c:order val="2"/>
          <c:tx>
            <c:v>median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Sheet1!$G$2:$G$111</c:f>
              <c:numCache>
                <c:formatCode>General</c:formatCode>
                <c:ptCount val="110"/>
                <c:pt idx="0">
                  <c:v>129</c:v>
                </c:pt>
                <c:pt idx="1">
                  <c:v>129</c:v>
                </c:pt>
                <c:pt idx="2">
                  <c:v>129</c:v>
                </c:pt>
                <c:pt idx="3">
                  <c:v>129</c:v>
                </c:pt>
                <c:pt idx="4">
                  <c:v>129</c:v>
                </c:pt>
                <c:pt idx="5">
                  <c:v>129</c:v>
                </c:pt>
                <c:pt idx="6">
                  <c:v>129</c:v>
                </c:pt>
                <c:pt idx="7">
                  <c:v>129</c:v>
                </c:pt>
                <c:pt idx="8">
                  <c:v>129</c:v>
                </c:pt>
                <c:pt idx="9">
                  <c:v>129</c:v>
                </c:pt>
                <c:pt idx="10">
                  <c:v>129</c:v>
                </c:pt>
                <c:pt idx="11">
                  <c:v>129</c:v>
                </c:pt>
                <c:pt idx="12">
                  <c:v>129</c:v>
                </c:pt>
                <c:pt idx="13">
                  <c:v>129</c:v>
                </c:pt>
                <c:pt idx="14">
                  <c:v>129</c:v>
                </c:pt>
                <c:pt idx="15">
                  <c:v>129</c:v>
                </c:pt>
                <c:pt idx="16">
                  <c:v>129</c:v>
                </c:pt>
                <c:pt idx="17">
                  <c:v>129</c:v>
                </c:pt>
                <c:pt idx="18">
                  <c:v>129</c:v>
                </c:pt>
                <c:pt idx="19">
                  <c:v>129</c:v>
                </c:pt>
                <c:pt idx="20">
                  <c:v>129</c:v>
                </c:pt>
                <c:pt idx="21">
                  <c:v>129</c:v>
                </c:pt>
                <c:pt idx="22">
                  <c:v>129</c:v>
                </c:pt>
                <c:pt idx="23">
                  <c:v>129</c:v>
                </c:pt>
                <c:pt idx="24">
                  <c:v>129</c:v>
                </c:pt>
                <c:pt idx="25">
                  <c:v>129</c:v>
                </c:pt>
                <c:pt idx="26">
                  <c:v>129</c:v>
                </c:pt>
                <c:pt idx="27">
                  <c:v>129</c:v>
                </c:pt>
                <c:pt idx="28">
                  <c:v>129</c:v>
                </c:pt>
                <c:pt idx="29">
                  <c:v>129</c:v>
                </c:pt>
                <c:pt idx="30">
                  <c:v>129</c:v>
                </c:pt>
                <c:pt idx="31">
                  <c:v>129</c:v>
                </c:pt>
                <c:pt idx="32">
                  <c:v>129</c:v>
                </c:pt>
                <c:pt idx="33">
                  <c:v>129</c:v>
                </c:pt>
                <c:pt idx="34">
                  <c:v>129</c:v>
                </c:pt>
                <c:pt idx="35">
                  <c:v>129</c:v>
                </c:pt>
                <c:pt idx="36">
                  <c:v>129</c:v>
                </c:pt>
                <c:pt idx="37">
                  <c:v>129</c:v>
                </c:pt>
                <c:pt idx="38">
                  <c:v>129</c:v>
                </c:pt>
                <c:pt idx="39">
                  <c:v>129</c:v>
                </c:pt>
                <c:pt idx="40">
                  <c:v>129</c:v>
                </c:pt>
                <c:pt idx="41">
                  <c:v>129</c:v>
                </c:pt>
                <c:pt idx="42">
                  <c:v>129</c:v>
                </c:pt>
                <c:pt idx="43">
                  <c:v>129</c:v>
                </c:pt>
                <c:pt idx="44">
                  <c:v>129</c:v>
                </c:pt>
                <c:pt idx="45">
                  <c:v>129</c:v>
                </c:pt>
                <c:pt idx="46">
                  <c:v>129</c:v>
                </c:pt>
                <c:pt idx="47">
                  <c:v>129</c:v>
                </c:pt>
                <c:pt idx="48">
                  <c:v>129</c:v>
                </c:pt>
                <c:pt idx="49">
                  <c:v>129</c:v>
                </c:pt>
                <c:pt idx="50">
                  <c:v>129</c:v>
                </c:pt>
                <c:pt idx="51">
                  <c:v>129</c:v>
                </c:pt>
                <c:pt idx="52">
                  <c:v>129</c:v>
                </c:pt>
                <c:pt idx="53">
                  <c:v>129</c:v>
                </c:pt>
                <c:pt idx="54">
                  <c:v>129</c:v>
                </c:pt>
                <c:pt idx="55">
                  <c:v>129</c:v>
                </c:pt>
                <c:pt idx="56">
                  <c:v>129</c:v>
                </c:pt>
                <c:pt idx="57">
                  <c:v>129</c:v>
                </c:pt>
                <c:pt idx="58">
                  <c:v>129</c:v>
                </c:pt>
                <c:pt idx="59">
                  <c:v>129</c:v>
                </c:pt>
                <c:pt idx="60">
                  <c:v>129</c:v>
                </c:pt>
                <c:pt idx="61">
                  <c:v>129</c:v>
                </c:pt>
                <c:pt idx="62">
                  <c:v>129</c:v>
                </c:pt>
                <c:pt idx="63">
                  <c:v>129</c:v>
                </c:pt>
                <c:pt idx="64">
                  <c:v>129</c:v>
                </c:pt>
                <c:pt idx="65">
                  <c:v>129</c:v>
                </c:pt>
                <c:pt idx="66">
                  <c:v>129</c:v>
                </c:pt>
                <c:pt idx="67">
                  <c:v>129</c:v>
                </c:pt>
                <c:pt idx="68">
                  <c:v>129</c:v>
                </c:pt>
                <c:pt idx="69">
                  <c:v>129</c:v>
                </c:pt>
                <c:pt idx="70">
                  <c:v>129</c:v>
                </c:pt>
                <c:pt idx="71">
                  <c:v>129</c:v>
                </c:pt>
                <c:pt idx="72">
                  <c:v>129</c:v>
                </c:pt>
                <c:pt idx="73">
                  <c:v>129</c:v>
                </c:pt>
                <c:pt idx="74">
                  <c:v>129</c:v>
                </c:pt>
                <c:pt idx="75">
                  <c:v>129</c:v>
                </c:pt>
                <c:pt idx="76">
                  <c:v>129</c:v>
                </c:pt>
                <c:pt idx="77">
                  <c:v>129</c:v>
                </c:pt>
                <c:pt idx="78">
                  <c:v>129</c:v>
                </c:pt>
                <c:pt idx="79">
                  <c:v>129</c:v>
                </c:pt>
                <c:pt idx="80">
                  <c:v>129</c:v>
                </c:pt>
                <c:pt idx="81">
                  <c:v>129</c:v>
                </c:pt>
                <c:pt idx="82">
                  <c:v>129</c:v>
                </c:pt>
                <c:pt idx="83">
                  <c:v>129</c:v>
                </c:pt>
                <c:pt idx="84">
                  <c:v>129</c:v>
                </c:pt>
                <c:pt idx="85">
                  <c:v>129</c:v>
                </c:pt>
                <c:pt idx="86">
                  <c:v>129</c:v>
                </c:pt>
                <c:pt idx="87">
                  <c:v>129</c:v>
                </c:pt>
                <c:pt idx="88">
                  <c:v>129</c:v>
                </c:pt>
                <c:pt idx="89">
                  <c:v>129</c:v>
                </c:pt>
                <c:pt idx="90">
                  <c:v>129</c:v>
                </c:pt>
                <c:pt idx="91">
                  <c:v>129</c:v>
                </c:pt>
                <c:pt idx="92">
                  <c:v>129</c:v>
                </c:pt>
                <c:pt idx="93">
                  <c:v>129</c:v>
                </c:pt>
                <c:pt idx="94">
                  <c:v>129</c:v>
                </c:pt>
                <c:pt idx="95">
                  <c:v>129</c:v>
                </c:pt>
                <c:pt idx="96">
                  <c:v>129</c:v>
                </c:pt>
                <c:pt idx="97">
                  <c:v>129</c:v>
                </c:pt>
                <c:pt idx="98">
                  <c:v>129</c:v>
                </c:pt>
                <c:pt idx="99">
                  <c:v>129</c:v>
                </c:pt>
                <c:pt idx="100">
                  <c:v>129</c:v>
                </c:pt>
                <c:pt idx="101">
                  <c:v>129</c:v>
                </c:pt>
                <c:pt idx="102">
                  <c:v>129</c:v>
                </c:pt>
                <c:pt idx="103">
                  <c:v>129</c:v>
                </c:pt>
                <c:pt idx="104">
                  <c:v>129</c:v>
                </c:pt>
                <c:pt idx="105">
                  <c:v>129</c:v>
                </c:pt>
                <c:pt idx="106">
                  <c:v>129</c:v>
                </c:pt>
                <c:pt idx="107">
                  <c:v>129</c:v>
                </c:pt>
                <c:pt idx="108">
                  <c:v>129</c:v>
                </c:pt>
                <c:pt idx="109">
                  <c:v>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5F-4142-9E99-7E0A01C82D70}"/>
            </c:ext>
          </c:extLst>
        </c:ser>
        <c:ser>
          <c:idx val="3"/>
          <c:order val="3"/>
          <c:tx>
            <c:v>Mode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Sheet1!$H$2:$H$111</c:f>
              <c:numCache>
                <c:formatCode>General</c:formatCode>
                <c:ptCount val="110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200</c:v>
                </c:pt>
                <c:pt idx="24">
                  <c:v>200</c:v>
                </c:pt>
                <c:pt idx="25">
                  <c:v>200</c:v>
                </c:pt>
                <c:pt idx="26">
                  <c:v>200</c:v>
                </c:pt>
                <c:pt idx="27">
                  <c:v>200</c:v>
                </c:pt>
                <c:pt idx="28">
                  <c:v>200</c:v>
                </c:pt>
                <c:pt idx="29">
                  <c:v>200</c:v>
                </c:pt>
                <c:pt idx="30">
                  <c:v>200</c:v>
                </c:pt>
                <c:pt idx="31">
                  <c:v>200</c:v>
                </c:pt>
                <c:pt idx="32">
                  <c:v>200</c:v>
                </c:pt>
                <c:pt idx="33">
                  <c:v>200</c:v>
                </c:pt>
                <c:pt idx="34">
                  <c:v>200</c:v>
                </c:pt>
                <c:pt idx="35">
                  <c:v>200</c:v>
                </c:pt>
                <c:pt idx="36">
                  <c:v>200</c:v>
                </c:pt>
                <c:pt idx="37">
                  <c:v>200</c:v>
                </c:pt>
                <c:pt idx="38">
                  <c:v>200</c:v>
                </c:pt>
                <c:pt idx="39">
                  <c:v>200</c:v>
                </c:pt>
                <c:pt idx="40">
                  <c:v>200</c:v>
                </c:pt>
                <c:pt idx="41">
                  <c:v>200</c:v>
                </c:pt>
                <c:pt idx="42">
                  <c:v>200</c:v>
                </c:pt>
                <c:pt idx="43">
                  <c:v>200</c:v>
                </c:pt>
                <c:pt idx="44">
                  <c:v>200</c:v>
                </c:pt>
                <c:pt idx="45">
                  <c:v>200</c:v>
                </c:pt>
                <c:pt idx="46">
                  <c:v>200</c:v>
                </c:pt>
                <c:pt idx="47">
                  <c:v>200</c:v>
                </c:pt>
                <c:pt idx="48">
                  <c:v>200</c:v>
                </c:pt>
                <c:pt idx="49">
                  <c:v>200</c:v>
                </c:pt>
                <c:pt idx="50">
                  <c:v>200</c:v>
                </c:pt>
                <c:pt idx="51">
                  <c:v>200</c:v>
                </c:pt>
                <c:pt idx="52">
                  <c:v>200</c:v>
                </c:pt>
                <c:pt idx="53">
                  <c:v>200</c:v>
                </c:pt>
                <c:pt idx="54">
                  <c:v>200</c:v>
                </c:pt>
                <c:pt idx="55">
                  <c:v>200</c:v>
                </c:pt>
                <c:pt idx="56">
                  <c:v>200</c:v>
                </c:pt>
                <c:pt idx="57">
                  <c:v>200</c:v>
                </c:pt>
                <c:pt idx="58">
                  <c:v>200</c:v>
                </c:pt>
                <c:pt idx="59">
                  <c:v>200</c:v>
                </c:pt>
                <c:pt idx="60">
                  <c:v>200</c:v>
                </c:pt>
                <c:pt idx="61">
                  <c:v>200</c:v>
                </c:pt>
                <c:pt idx="62">
                  <c:v>200</c:v>
                </c:pt>
                <c:pt idx="63">
                  <c:v>200</c:v>
                </c:pt>
                <c:pt idx="64">
                  <c:v>200</c:v>
                </c:pt>
                <c:pt idx="65">
                  <c:v>200</c:v>
                </c:pt>
                <c:pt idx="66">
                  <c:v>200</c:v>
                </c:pt>
                <c:pt idx="67">
                  <c:v>200</c:v>
                </c:pt>
                <c:pt idx="68">
                  <c:v>200</c:v>
                </c:pt>
                <c:pt idx="69">
                  <c:v>200</c:v>
                </c:pt>
                <c:pt idx="70">
                  <c:v>200</c:v>
                </c:pt>
                <c:pt idx="71">
                  <c:v>200</c:v>
                </c:pt>
                <c:pt idx="72">
                  <c:v>200</c:v>
                </c:pt>
                <c:pt idx="73">
                  <c:v>200</c:v>
                </c:pt>
                <c:pt idx="74">
                  <c:v>200</c:v>
                </c:pt>
                <c:pt idx="75">
                  <c:v>200</c:v>
                </c:pt>
                <c:pt idx="76">
                  <c:v>200</c:v>
                </c:pt>
                <c:pt idx="77">
                  <c:v>200</c:v>
                </c:pt>
                <c:pt idx="78">
                  <c:v>200</c:v>
                </c:pt>
                <c:pt idx="79">
                  <c:v>200</c:v>
                </c:pt>
                <c:pt idx="80">
                  <c:v>200</c:v>
                </c:pt>
                <c:pt idx="81">
                  <c:v>200</c:v>
                </c:pt>
                <c:pt idx="82">
                  <c:v>200</c:v>
                </c:pt>
                <c:pt idx="83">
                  <c:v>200</c:v>
                </c:pt>
                <c:pt idx="84">
                  <c:v>200</c:v>
                </c:pt>
                <c:pt idx="85">
                  <c:v>200</c:v>
                </c:pt>
                <c:pt idx="86">
                  <c:v>200</c:v>
                </c:pt>
                <c:pt idx="87">
                  <c:v>200</c:v>
                </c:pt>
                <c:pt idx="88">
                  <c:v>200</c:v>
                </c:pt>
                <c:pt idx="89">
                  <c:v>200</c:v>
                </c:pt>
                <c:pt idx="90">
                  <c:v>200</c:v>
                </c:pt>
                <c:pt idx="91">
                  <c:v>200</c:v>
                </c:pt>
                <c:pt idx="92">
                  <c:v>200</c:v>
                </c:pt>
                <c:pt idx="93">
                  <c:v>200</c:v>
                </c:pt>
                <c:pt idx="94">
                  <c:v>200</c:v>
                </c:pt>
                <c:pt idx="95">
                  <c:v>200</c:v>
                </c:pt>
                <c:pt idx="96">
                  <c:v>200</c:v>
                </c:pt>
                <c:pt idx="97">
                  <c:v>200</c:v>
                </c:pt>
                <c:pt idx="98">
                  <c:v>200</c:v>
                </c:pt>
                <c:pt idx="99">
                  <c:v>200</c:v>
                </c:pt>
                <c:pt idx="100">
                  <c:v>200</c:v>
                </c:pt>
                <c:pt idx="101">
                  <c:v>200</c:v>
                </c:pt>
                <c:pt idx="102">
                  <c:v>200</c:v>
                </c:pt>
                <c:pt idx="103">
                  <c:v>200</c:v>
                </c:pt>
                <c:pt idx="104">
                  <c:v>200</c:v>
                </c:pt>
                <c:pt idx="105">
                  <c:v>200</c:v>
                </c:pt>
                <c:pt idx="106">
                  <c:v>200</c:v>
                </c:pt>
                <c:pt idx="107">
                  <c:v>200</c:v>
                </c:pt>
                <c:pt idx="108">
                  <c:v>200</c:v>
                </c:pt>
                <c:pt idx="109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5F-4142-9E99-7E0A01C82D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3995808"/>
        <c:axId val="1544003712"/>
      </c:lineChart>
      <c:dateAx>
        <c:axId val="1543995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Dates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003712"/>
        <c:crosses val="autoZero"/>
        <c:auto val="1"/>
        <c:lblOffset val="100"/>
        <c:baseTimeUnit val="days"/>
      </c:dateAx>
      <c:valAx>
        <c:axId val="154400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Amount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995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Standard deviation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Amount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Sheet1!$A$2:$A$111</c:f>
              <c:numCache>
                <c:formatCode>m/d/yyyy</c:formatCode>
                <c:ptCount val="110"/>
                <c:pt idx="0">
                  <c:v>44562</c:v>
                </c:pt>
                <c:pt idx="1">
                  <c:v>44564</c:v>
                </c:pt>
                <c:pt idx="2">
                  <c:v>44564</c:v>
                </c:pt>
                <c:pt idx="3">
                  <c:v>44564</c:v>
                </c:pt>
                <c:pt idx="4">
                  <c:v>44574</c:v>
                </c:pt>
                <c:pt idx="5">
                  <c:v>44574</c:v>
                </c:pt>
                <c:pt idx="6">
                  <c:v>44576</c:v>
                </c:pt>
                <c:pt idx="7">
                  <c:v>44578</c:v>
                </c:pt>
                <c:pt idx="8">
                  <c:v>44579</c:v>
                </c:pt>
                <c:pt idx="9">
                  <c:v>44579</c:v>
                </c:pt>
                <c:pt idx="10">
                  <c:v>44579</c:v>
                </c:pt>
                <c:pt idx="11">
                  <c:v>44579</c:v>
                </c:pt>
                <c:pt idx="12">
                  <c:v>44580</c:v>
                </c:pt>
                <c:pt idx="13">
                  <c:v>44582</c:v>
                </c:pt>
                <c:pt idx="14">
                  <c:v>44582</c:v>
                </c:pt>
                <c:pt idx="15">
                  <c:v>44584</c:v>
                </c:pt>
                <c:pt idx="16">
                  <c:v>44584</c:v>
                </c:pt>
                <c:pt idx="17">
                  <c:v>44584</c:v>
                </c:pt>
                <c:pt idx="18">
                  <c:v>44584</c:v>
                </c:pt>
                <c:pt idx="19">
                  <c:v>44584</c:v>
                </c:pt>
                <c:pt idx="20">
                  <c:v>44584</c:v>
                </c:pt>
                <c:pt idx="21">
                  <c:v>44585</c:v>
                </c:pt>
                <c:pt idx="22">
                  <c:v>44585</c:v>
                </c:pt>
                <c:pt idx="23">
                  <c:v>44586</c:v>
                </c:pt>
                <c:pt idx="24">
                  <c:v>44586</c:v>
                </c:pt>
                <c:pt idx="25">
                  <c:v>44586</c:v>
                </c:pt>
                <c:pt idx="26">
                  <c:v>44587</c:v>
                </c:pt>
                <c:pt idx="27">
                  <c:v>44587</c:v>
                </c:pt>
                <c:pt idx="28">
                  <c:v>44588</c:v>
                </c:pt>
                <c:pt idx="29">
                  <c:v>44588</c:v>
                </c:pt>
                <c:pt idx="30">
                  <c:v>44588</c:v>
                </c:pt>
                <c:pt idx="31">
                  <c:v>44588</c:v>
                </c:pt>
                <c:pt idx="32">
                  <c:v>44589</c:v>
                </c:pt>
                <c:pt idx="33">
                  <c:v>44589</c:v>
                </c:pt>
                <c:pt idx="34">
                  <c:v>44590</c:v>
                </c:pt>
                <c:pt idx="35">
                  <c:v>44590</c:v>
                </c:pt>
                <c:pt idx="36">
                  <c:v>44591</c:v>
                </c:pt>
                <c:pt idx="37">
                  <c:v>44591</c:v>
                </c:pt>
                <c:pt idx="38">
                  <c:v>44591</c:v>
                </c:pt>
                <c:pt idx="39">
                  <c:v>44592</c:v>
                </c:pt>
                <c:pt idx="40">
                  <c:v>44592</c:v>
                </c:pt>
                <c:pt idx="41">
                  <c:v>44592</c:v>
                </c:pt>
                <c:pt idx="42">
                  <c:v>44593</c:v>
                </c:pt>
                <c:pt idx="43">
                  <c:v>44593</c:v>
                </c:pt>
                <c:pt idx="44">
                  <c:v>44594</c:v>
                </c:pt>
                <c:pt idx="45">
                  <c:v>44595</c:v>
                </c:pt>
                <c:pt idx="46">
                  <c:v>44595</c:v>
                </c:pt>
                <c:pt idx="47">
                  <c:v>44605</c:v>
                </c:pt>
                <c:pt idx="48">
                  <c:v>44608</c:v>
                </c:pt>
                <c:pt idx="49">
                  <c:v>44608</c:v>
                </c:pt>
                <c:pt idx="50">
                  <c:v>44609</c:v>
                </c:pt>
                <c:pt idx="51">
                  <c:v>44610</c:v>
                </c:pt>
                <c:pt idx="52">
                  <c:v>44611</c:v>
                </c:pt>
                <c:pt idx="53">
                  <c:v>44611</c:v>
                </c:pt>
                <c:pt idx="54">
                  <c:v>44611</c:v>
                </c:pt>
                <c:pt idx="55">
                  <c:v>44611</c:v>
                </c:pt>
                <c:pt idx="56">
                  <c:v>44611</c:v>
                </c:pt>
                <c:pt idx="57">
                  <c:v>44611</c:v>
                </c:pt>
                <c:pt idx="58">
                  <c:v>44611</c:v>
                </c:pt>
                <c:pt idx="59">
                  <c:v>44612</c:v>
                </c:pt>
                <c:pt idx="60">
                  <c:v>44613</c:v>
                </c:pt>
                <c:pt idx="61">
                  <c:v>44613</c:v>
                </c:pt>
                <c:pt idx="62">
                  <c:v>44613</c:v>
                </c:pt>
                <c:pt idx="63">
                  <c:v>44614</c:v>
                </c:pt>
                <c:pt idx="64">
                  <c:v>44615</c:v>
                </c:pt>
                <c:pt idx="65">
                  <c:v>44615</c:v>
                </c:pt>
                <c:pt idx="66">
                  <c:v>44615</c:v>
                </c:pt>
                <c:pt idx="67">
                  <c:v>44616</c:v>
                </c:pt>
                <c:pt idx="68">
                  <c:v>44616</c:v>
                </c:pt>
                <c:pt idx="69">
                  <c:v>44616</c:v>
                </c:pt>
                <c:pt idx="70">
                  <c:v>44617</c:v>
                </c:pt>
                <c:pt idx="71">
                  <c:v>44618</c:v>
                </c:pt>
                <c:pt idx="72">
                  <c:v>44618</c:v>
                </c:pt>
                <c:pt idx="73">
                  <c:v>44618</c:v>
                </c:pt>
                <c:pt idx="74">
                  <c:v>44618</c:v>
                </c:pt>
                <c:pt idx="75">
                  <c:v>44619</c:v>
                </c:pt>
                <c:pt idx="76">
                  <c:v>44620</c:v>
                </c:pt>
                <c:pt idx="77">
                  <c:v>44621</c:v>
                </c:pt>
                <c:pt idx="78">
                  <c:v>44621</c:v>
                </c:pt>
                <c:pt idx="79">
                  <c:v>44622</c:v>
                </c:pt>
                <c:pt idx="80">
                  <c:v>44622</c:v>
                </c:pt>
                <c:pt idx="81">
                  <c:v>44652</c:v>
                </c:pt>
                <c:pt idx="82">
                  <c:v>44652</c:v>
                </c:pt>
                <c:pt idx="83">
                  <c:v>44652</c:v>
                </c:pt>
                <c:pt idx="84">
                  <c:v>44653</c:v>
                </c:pt>
                <c:pt idx="85">
                  <c:v>44682</c:v>
                </c:pt>
                <c:pt idx="86">
                  <c:v>44682</c:v>
                </c:pt>
                <c:pt idx="87">
                  <c:v>44682</c:v>
                </c:pt>
                <c:pt idx="88">
                  <c:v>44682</c:v>
                </c:pt>
                <c:pt idx="89">
                  <c:v>44682</c:v>
                </c:pt>
                <c:pt idx="90">
                  <c:v>44682</c:v>
                </c:pt>
                <c:pt idx="91">
                  <c:v>44682</c:v>
                </c:pt>
                <c:pt idx="92">
                  <c:v>44682</c:v>
                </c:pt>
                <c:pt idx="93">
                  <c:v>44713</c:v>
                </c:pt>
                <c:pt idx="94">
                  <c:v>44713</c:v>
                </c:pt>
                <c:pt idx="95">
                  <c:v>44713</c:v>
                </c:pt>
                <c:pt idx="96">
                  <c:v>44714</c:v>
                </c:pt>
                <c:pt idx="97">
                  <c:v>44714</c:v>
                </c:pt>
                <c:pt idx="98">
                  <c:v>44743</c:v>
                </c:pt>
                <c:pt idx="99">
                  <c:v>44744</c:v>
                </c:pt>
                <c:pt idx="100">
                  <c:v>44774</c:v>
                </c:pt>
                <c:pt idx="101">
                  <c:v>44835</c:v>
                </c:pt>
                <c:pt idx="102">
                  <c:v>44836</c:v>
                </c:pt>
                <c:pt idx="103">
                  <c:v>44866</c:v>
                </c:pt>
                <c:pt idx="104">
                  <c:v>44867</c:v>
                </c:pt>
                <c:pt idx="105">
                  <c:v>44896</c:v>
                </c:pt>
                <c:pt idx="106">
                  <c:v>44896</c:v>
                </c:pt>
                <c:pt idx="107">
                  <c:v>44897</c:v>
                </c:pt>
                <c:pt idx="108">
                  <c:v>44897</c:v>
                </c:pt>
                <c:pt idx="109">
                  <c:v>44897</c:v>
                </c:pt>
              </c:numCache>
            </c:numRef>
          </c:cat>
          <c:val>
            <c:numRef>
              <c:f>Sheet1!$C$2:$C$111</c:f>
              <c:numCache>
                <c:formatCode>General</c:formatCode>
                <c:ptCount val="110"/>
                <c:pt idx="0">
                  <c:v>85</c:v>
                </c:pt>
                <c:pt idx="1">
                  <c:v>78</c:v>
                </c:pt>
                <c:pt idx="2">
                  <c:v>30</c:v>
                </c:pt>
                <c:pt idx="3">
                  <c:v>67</c:v>
                </c:pt>
                <c:pt idx="4">
                  <c:v>66</c:v>
                </c:pt>
                <c:pt idx="5">
                  <c:v>43</c:v>
                </c:pt>
                <c:pt idx="6">
                  <c:v>70</c:v>
                </c:pt>
                <c:pt idx="7">
                  <c:v>100</c:v>
                </c:pt>
                <c:pt idx="8">
                  <c:v>301.14999999999998</c:v>
                </c:pt>
                <c:pt idx="9">
                  <c:v>59</c:v>
                </c:pt>
                <c:pt idx="10">
                  <c:v>148</c:v>
                </c:pt>
                <c:pt idx="11">
                  <c:v>200</c:v>
                </c:pt>
                <c:pt idx="12">
                  <c:v>171</c:v>
                </c:pt>
                <c:pt idx="13">
                  <c:v>188</c:v>
                </c:pt>
                <c:pt idx="14">
                  <c:v>37</c:v>
                </c:pt>
                <c:pt idx="15">
                  <c:v>40</c:v>
                </c:pt>
                <c:pt idx="16">
                  <c:v>465</c:v>
                </c:pt>
                <c:pt idx="17">
                  <c:v>300</c:v>
                </c:pt>
                <c:pt idx="18">
                  <c:v>302</c:v>
                </c:pt>
                <c:pt idx="19">
                  <c:v>176</c:v>
                </c:pt>
                <c:pt idx="20">
                  <c:v>200</c:v>
                </c:pt>
                <c:pt idx="21">
                  <c:v>40</c:v>
                </c:pt>
                <c:pt idx="22">
                  <c:v>133</c:v>
                </c:pt>
                <c:pt idx="23">
                  <c:v>259</c:v>
                </c:pt>
                <c:pt idx="24">
                  <c:v>18</c:v>
                </c:pt>
                <c:pt idx="25">
                  <c:v>325</c:v>
                </c:pt>
                <c:pt idx="26">
                  <c:v>115</c:v>
                </c:pt>
                <c:pt idx="27">
                  <c:v>25</c:v>
                </c:pt>
                <c:pt idx="28">
                  <c:v>43</c:v>
                </c:pt>
                <c:pt idx="29">
                  <c:v>300</c:v>
                </c:pt>
                <c:pt idx="30">
                  <c:v>100</c:v>
                </c:pt>
                <c:pt idx="31">
                  <c:v>279</c:v>
                </c:pt>
                <c:pt idx="32">
                  <c:v>10</c:v>
                </c:pt>
                <c:pt idx="33">
                  <c:v>138</c:v>
                </c:pt>
                <c:pt idx="34">
                  <c:v>44</c:v>
                </c:pt>
                <c:pt idx="35">
                  <c:v>100</c:v>
                </c:pt>
                <c:pt idx="36">
                  <c:v>155</c:v>
                </c:pt>
                <c:pt idx="37">
                  <c:v>120</c:v>
                </c:pt>
                <c:pt idx="38">
                  <c:v>105</c:v>
                </c:pt>
                <c:pt idx="39">
                  <c:v>50</c:v>
                </c:pt>
                <c:pt idx="40">
                  <c:v>200</c:v>
                </c:pt>
                <c:pt idx="41">
                  <c:v>153</c:v>
                </c:pt>
                <c:pt idx="42">
                  <c:v>8</c:v>
                </c:pt>
                <c:pt idx="43">
                  <c:v>200</c:v>
                </c:pt>
                <c:pt idx="44">
                  <c:v>120</c:v>
                </c:pt>
                <c:pt idx="45">
                  <c:v>50</c:v>
                </c:pt>
                <c:pt idx="46">
                  <c:v>300</c:v>
                </c:pt>
                <c:pt idx="47">
                  <c:v>100</c:v>
                </c:pt>
                <c:pt idx="48">
                  <c:v>165</c:v>
                </c:pt>
                <c:pt idx="49">
                  <c:v>475</c:v>
                </c:pt>
                <c:pt idx="50">
                  <c:v>80</c:v>
                </c:pt>
                <c:pt idx="51">
                  <c:v>348</c:v>
                </c:pt>
                <c:pt idx="52">
                  <c:v>111</c:v>
                </c:pt>
                <c:pt idx="53">
                  <c:v>250</c:v>
                </c:pt>
                <c:pt idx="54">
                  <c:v>200</c:v>
                </c:pt>
                <c:pt idx="55">
                  <c:v>380</c:v>
                </c:pt>
                <c:pt idx="56">
                  <c:v>60</c:v>
                </c:pt>
                <c:pt idx="57">
                  <c:v>50</c:v>
                </c:pt>
                <c:pt idx="58">
                  <c:v>270</c:v>
                </c:pt>
                <c:pt idx="59">
                  <c:v>200</c:v>
                </c:pt>
                <c:pt idx="60">
                  <c:v>138</c:v>
                </c:pt>
                <c:pt idx="61">
                  <c:v>336</c:v>
                </c:pt>
                <c:pt idx="62">
                  <c:v>201.8</c:v>
                </c:pt>
                <c:pt idx="63">
                  <c:v>120</c:v>
                </c:pt>
                <c:pt idx="64">
                  <c:v>399</c:v>
                </c:pt>
                <c:pt idx="65">
                  <c:v>83</c:v>
                </c:pt>
                <c:pt idx="66">
                  <c:v>399</c:v>
                </c:pt>
                <c:pt idx="67">
                  <c:v>303</c:v>
                </c:pt>
                <c:pt idx="68">
                  <c:v>289</c:v>
                </c:pt>
                <c:pt idx="69">
                  <c:v>324.7</c:v>
                </c:pt>
                <c:pt idx="70">
                  <c:v>33</c:v>
                </c:pt>
                <c:pt idx="71">
                  <c:v>25</c:v>
                </c:pt>
                <c:pt idx="72">
                  <c:v>100</c:v>
                </c:pt>
                <c:pt idx="73">
                  <c:v>40</c:v>
                </c:pt>
                <c:pt idx="74">
                  <c:v>84</c:v>
                </c:pt>
                <c:pt idx="75">
                  <c:v>243</c:v>
                </c:pt>
                <c:pt idx="76">
                  <c:v>339.15</c:v>
                </c:pt>
                <c:pt idx="77">
                  <c:v>10</c:v>
                </c:pt>
                <c:pt idx="78">
                  <c:v>300</c:v>
                </c:pt>
                <c:pt idx="79">
                  <c:v>50</c:v>
                </c:pt>
                <c:pt idx="80">
                  <c:v>150</c:v>
                </c:pt>
                <c:pt idx="81">
                  <c:v>106</c:v>
                </c:pt>
                <c:pt idx="82">
                  <c:v>80</c:v>
                </c:pt>
                <c:pt idx="83">
                  <c:v>107</c:v>
                </c:pt>
                <c:pt idx="84">
                  <c:v>80</c:v>
                </c:pt>
                <c:pt idx="85">
                  <c:v>211</c:v>
                </c:pt>
                <c:pt idx="86">
                  <c:v>40</c:v>
                </c:pt>
                <c:pt idx="87">
                  <c:v>30</c:v>
                </c:pt>
                <c:pt idx="88">
                  <c:v>354</c:v>
                </c:pt>
                <c:pt idx="89">
                  <c:v>500</c:v>
                </c:pt>
                <c:pt idx="90">
                  <c:v>500</c:v>
                </c:pt>
                <c:pt idx="91">
                  <c:v>60</c:v>
                </c:pt>
                <c:pt idx="92">
                  <c:v>388</c:v>
                </c:pt>
                <c:pt idx="93">
                  <c:v>20</c:v>
                </c:pt>
                <c:pt idx="94">
                  <c:v>10</c:v>
                </c:pt>
                <c:pt idx="95">
                  <c:v>42</c:v>
                </c:pt>
                <c:pt idx="96">
                  <c:v>125</c:v>
                </c:pt>
                <c:pt idx="97">
                  <c:v>150</c:v>
                </c:pt>
                <c:pt idx="98">
                  <c:v>15</c:v>
                </c:pt>
                <c:pt idx="99">
                  <c:v>214</c:v>
                </c:pt>
                <c:pt idx="100">
                  <c:v>535.29999999999995</c:v>
                </c:pt>
                <c:pt idx="101">
                  <c:v>106</c:v>
                </c:pt>
                <c:pt idx="102">
                  <c:v>641</c:v>
                </c:pt>
                <c:pt idx="103">
                  <c:v>135.5</c:v>
                </c:pt>
                <c:pt idx="104">
                  <c:v>373</c:v>
                </c:pt>
                <c:pt idx="105">
                  <c:v>479</c:v>
                </c:pt>
                <c:pt idx="106">
                  <c:v>301.75</c:v>
                </c:pt>
                <c:pt idx="107">
                  <c:v>491</c:v>
                </c:pt>
                <c:pt idx="108">
                  <c:v>70</c:v>
                </c:pt>
                <c:pt idx="109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C0-4609-9BF5-A944C5EBF801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stdDev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Sheet1!$A$2:$A$111</c:f>
              <c:numCache>
                <c:formatCode>m/d/yyyy</c:formatCode>
                <c:ptCount val="110"/>
                <c:pt idx="0">
                  <c:v>44562</c:v>
                </c:pt>
                <c:pt idx="1">
                  <c:v>44564</c:v>
                </c:pt>
                <c:pt idx="2">
                  <c:v>44564</c:v>
                </c:pt>
                <c:pt idx="3">
                  <c:v>44564</c:v>
                </c:pt>
                <c:pt idx="4">
                  <c:v>44574</c:v>
                </c:pt>
                <c:pt idx="5">
                  <c:v>44574</c:v>
                </c:pt>
                <c:pt idx="6">
                  <c:v>44576</c:v>
                </c:pt>
                <c:pt idx="7">
                  <c:v>44578</c:v>
                </c:pt>
                <c:pt idx="8">
                  <c:v>44579</c:v>
                </c:pt>
                <c:pt idx="9">
                  <c:v>44579</c:v>
                </c:pt>
                <c:pt idx="10">
                  <c:v>44579</c:v>
                </c:pt>
                <c:pt idx="11">
                  <c:v>44579</c:v>
                </c:pt>
                <c:pt idx="12">
                  <c:v>44580</c:v>
                </c:pt>
                <c:pt idx="13">
                  <c:v>44582</c:v>
                </c:pt>
                <c:pt idx="14">
                  <c:v>44582</c:v>
                </c:pt>
                <c:pt idx="15">
                  <c:v>44584</c:v>
                </c:pt>
                <c:pt idx="16">
                  <c:v>44584</c:v>
                </c:pt>
                <c:pt idx="17">
                  <c:v>44584</c:v>
                </c:pt>
                <c:pt idx="18">
                  <c:v>44584</c:v>
                </c:pt>
                <c:pt idx="19">
                  <c:v>44584</c:v>
                </c:pt>
                <c:pt idx="20">
                  <c:v>44584</c:v>
                </c:pt>
                <c:pt idx="21">
                  <c:v>44585</c:v>
                </c:pt>
                <c:pt idx="22">
                  <c:v>44585</c:v>
                </c:pt>
                <c:pt idx="23">
                  <c:v>44586</c:v>
                </c:pt>
                <c:pt idx="24">
                  <c:v>44586</c:v>
                </c:pt>
                <c:pt idx="25">
                  <c:v>44586</c:v>
                </c:pt>
                <c:pt idx="26">
                  <c:v>44587</c:v>
                </c:pt>
                <c:pt idx="27">
                  <c:v>44587</c:v>
                </c:pt>
                <c:pt idx="28">
                  <c:v>44588</c:v>
                </c:pt>
                <c:pt idx="29">
                  <c:v>44588</c:v>
                </c:pt>
                <c:pt idx="30">
                  <c:v>44588</c:v>
                </c:pt>
                <c:pt idx="31">
                  <c:v>44588</c:v>
                </c:pt>
                <c:pt idx="32">
                  <c:v>44589</c:v>
                </c:pt>
                <c:pt idx="33">
                  <c:v>44589</c:v>
                </c:pt>
                <c:pt idx="34">
                  <c:v>44590</c:v>
                </c:pt>
                <c:pt idx="35">
                  <c:v>44590</c:v>
                </c:pt>
                <c:pt idx="36">
                  <c:v>44591</c:v>
                </c:pt>
                <c:pt idx="37">
                  <c:v>44591</c:v>
                </c:pt>
                <c:pt idx="38">
                  <c:v>44591</c:v>
                </c:pt>
                <c:pt idx="39">
                  <c:v>44592</c:v>
                </c:pt>
                <c:pt idx="40">
                  <c:v>44592</c:v>
                </c:pt>
                <c:pt idx="41">
                  <c:v>44592</c:v>
                </c:pt>
                <c:pt idx="42">
                  <c:v>44593</c:v>
                </c:pt>
                <c:pt idx="43">
                  <c:v>44593</c:v>
                </c:pt>
                <c:pt idx="44">
                  <c:v>44594</c:v>
                </c:pt>
                <c:pt idx="45">
                  <c:v>44595</c:v>
                </c:pt>
                <c:pt idx="46">
                  <c:v>44595</c:v>
                </c:pt>
                <c:pt idx="47">
                  <c:v>44605</c:v>
                </c:pt>
                <c:pt idx="48">
                  <c:v>44608</c:v>
                </c:pt>
                <c:pt idx="49">
                  <c:v>44608</c:v>
                </c:pt>
                <c:pt idx="50">
                  <c:v>44609</c:v>
                </c:pt>
                <c:pt idx="51">
                  <c:v>44610</c:v>
                </c:pt>
                <c:pt idx="52">
                  <c:v>44611</c:v>
                </c:pt>
                <c:pt idx="53">
                  <c:v>44611</c:v>
                </c:pt>
                <c:pt idx="54">
                  <c:v>44611</c:v>
                </c:pt>
                <c:pt idx="55">
                  <c:v>44611</c:v>
                </c:pt>
                <c:pt idx="56">
                  <c:v>44611</c:v>
                </c:pt>
                <c:pt idx="57">
                  <c:v>44611</c:v>
                </c:pt>
                <c:pt idx="58">
                  <c:v>44611</c:v>
                </c:pt>
                <c:pt idx="59">
                  <c:v>44612</c:v>
                </c:pt>
                <c:pt idx="60">
                  <c:v>44613</c:v>
                </c:pt>
                <c:pt idx="61">
                  <c:v>44613</c:v>
                </c:pt>
                <c:pt idx="62">
                  <c:v>44613</c:v>
                </c:pt>
                <c:pt idx="63">
                  <c:v>44614</c:v>
                </c:pt>
                <c:pt idx="64">
                  <c:v>44615</c:v>
                </c:pt>
                <c:pt idx="65">
                  <c:v>44615</c:v>
                </c:pt>
                <c:pt idx="66">
                  <c:v>44615</c:v>
                </c:pt>
                <c:pt idx="67">
                  <c:v>44616</c:v>
                </c:pt>
                <c:pt idx="68">
                  <c:v>44616</c:v>
                </c:pt>
                <c:pt idx="69">
                  <c:v>44616</c:v>
                </c:pt>
                <c:pt idx="70">
                  <c:v>44617</c:v>
                </c:pt>
                <c:pt idx="71">
                  <c:v>44618</c:v>
                </c:pt>
                <c:pt idx="72">
                  <c:v>44618</c:v>
                </c:pt>
                <c:pt idx="73">
                  <c:v>44618</c:v>
                </c:pt>
                <c:pt idx="74">
                  <c:v>44618</c:v>
                </c:pt>
                <c:pt idx="75">
                  <c:v>44619</c:v>
                </c:pt>
                <c:pt idx="76">
                  <c:v>44620</c:v>
                </c:pt>
                <c:pt idx="77">
                  <c:v>44621</c:v>
                </c:pt>
                <c:pt idx="78">
                  <c:v>44621</c:v>
                </c:pt>
                <c:pt idx="79">
                  <c:v>44622</c:v>
                </c:pt>
                <c:pt idx="80">
                  <c:v>44622</c:v>
                </c:pt>
                <c:pt idx="81">
                  <c:v>44652</c:v>
                </c:pt>
                <c:pt idx="82">
                  <c:v>44652</c:v>
                </c:pt>
                <c:pt idx="83">
                  <c:v>44652</c:v>
                </c:pt>
                <c:pt idx="84">
                  <c:v>44653</c:v>
                </c:pt>
                <c:pt idx="85">
                  <c:v>44682</c:v>
                </c:pt>
                <c:pt idx="86">
                  <c:v>44682</c:v>
                </c:pt>
                <c:pt idx="87">
                  <c:v>44682</c:v>
                </c:pt>
                <c:pt idx="88">
                  <c:v>44682</c:v>
                </c:pt>
                <c:pt idx="89">
                  <c:v>44682</c:v>
                </c:pt>
                <c:pt idx="90">
                  <c:v>44682</c:v>
                </c:pt>
                <c:pt idx="91">
                  <c:v>44682</c:v>
                </c:pt>
                <c:pt idx="92">
                  <c:v>44682</c:v>
                </c:pt>
                <c:pt idx="93">
                  <c:v>44713</c:v>
                </c:pt>
                <c:pt idx="94">
                  <c:v>44713</c:v>
                </c:pt>
                <c:pt idx="95">
                  <c:v>44713</c:v>
                </c:pt>
                <c:pt idx="96">
                  <c:v>44714</c:v>
                </c:pt>
                <c:pt idx="97">
                  <c:v>44714</c:v>
                </c:pt>
                <c:pt idx="98">
                  <c:v>44743</c:v>
                </c:pt>
                <c:pt idx="99">
                  <c:v>44744</c:v>
                </c:pt>
                <c:pt idx="100">
                  <c:v>44774</c:v>
                </c:pt>
                <c:pt idx="101">
                  <c:v>44835</c:v>
                </c:pt>
                <c:pt idx="102">
                  <c:v>44836</c:v>
                </c:pt>
                <c:pt idx="103">
                  <c:v>44866</c:v>
                </c:pt>
                <c:pt idx="104">
                  <c:v>44867</c:v>
                </c:pt>
                <c:pt idx="105">
                  <c:v>44896</c:v>
                </c:pt>
                <c:pt idx="106">
                  <c:v>44896</c:v>
                </c:pt>
                <c:pt idx="107">
                  <c:v>44897</c:v>
                </c:pt>
                <c:pt idx="108">
                  <c:v>44897</c:v>
                </c:pt>
                <c:pt idx="109">
                  <c:v>44897</c:v>
                </c:pt>
              </c:numCache>
            </c:numRef>
          </c:cat>
          <c:val>
            <c:numRef>
              <c:f>Sheet1!$F$2:$F$111</c:f>
              <c:numCache>
                <c:formatCode>General</c:formatCode>
                <c:ptCount val="110"/>
                <c:pt idx="0">
                  <c:v>176.52136363636365</c:v>
                </c:pt>
                <c:pt idx="1">
                  <c:v>176.52136363636365</c:v>
                </c:pt>
                <c:pt idx="2">
                  <c:v>176.52136363636365</c:v>
                </c:pt>
                <c:pt idx="3">
                  <c:v>176.52136363636365</c:v>
                </c:pt>
                <c:pt idx="4">
                  <c:v>176.52136363636365</c:v>
                </c:pt>
                <c:pt idx="5">
                  <c:v>176.52136363636365</c:v>
                </c:pt>
                <c:pt idx="6">
                  <c:v>176.52136363636365</c:v>
                </c:pt>
                <c:pt idx="7">
                  <c:v>176.52136363636365</c:v>
                </c:pt>
                <c:pt idx="8">
                  <c:v>176.52136363636365</c:v>
                </c:pt>
                <c:pt idx="9">
                  <c:v>176.52136363636365</c:v>
                </c:pt>
                <c:pt idx="10">
                  <c:v>176.52136363636365</c:v>
                </c:pt>
                <c:pt idx="11">
                  <c:v>176.52136363636365</c:v>
                </c:pt>
                <c:pt idx="12">
                  <c:v>176.52136363636365</c:v>
                </c:pt>
                <c:pt idx="13">
                  <c:v>176.52136363636365</c:v>
                </c:pt>
                <c:pt idx="14">
                  <c:v>176.52136363636365</c:v>
                </c:pt>
                <c:pt idx="15">
                  <c:v>176.52136363636365</c:v>
                </c:pt>
                <c:pt idx="16">
                  <c:v>176.52136363636365</c:v>
                </c:pt>
                <c:pt idx="17">
                  <c:v>176.52136363636365</c:v>
                </c:pt>
                <c:pt idx="18">
                  <c:v>176.52136363636365</c:v>
                </c:pt>
                <c:pt idx="19">
                  <c:v>176.52136363636365</c:v>
                </c:pt>
                <c:pt idx="20">
                  <c:v>176.52136363636365</c:v>
                </c:pt>
                <c:pt idx="21">
                  <c:v>176.52136363636365</c:v>
                </c:pt>
                <c:pt idx="22">
                  <c:v>176.52136363636365</c:v>
                </c:pt>
                <c:pt idx="23">
                  <c:v>176.52136363636365</c:v>
                </c:pt>
                <c:pt idx="24">
                  <c:v>176.52136363636365</c:v>
                </c:pt>
                <c:pt idx="25">
                  <c:v>176.52136363636365</c:v>
                </c:pt>
                <c:pt idx="26">
                  <c:v>176.52136363636365</c:v>
                </c:pt>
                <c:pt idx="27">
                  <c:v>176.52136363636365</c:v>
                </c:pt>
                <c:pt idx="28">
                  <c:v>176.52136363636365</c:v>
                </c:pt>
                <c:pt idx="29">
                  <c:v>176.52136363636365</c:v>
                </c:pt>
                <c:pt idx="30">
                  <c:v>176.52136363636365</c:v>
                </c:pt>
                <c:pt idx="31">
                  <c:v>176.52136363636365</c:v>
                </c:pt>
                <c:pt idx="32">
                  <c:v>176.52136363636365</c:v>
                </c:pt>
                <c:pt idx="33">
                  <c:v>176.52136363636365</c:v>
                </c:pt>
                <c:pt idx="34">
                  <c:v>176.52136363636365</c:v>
                </c:pt>
                <c:pt idx="35">
                  <c:v>176.52136363636365</c:v>
                </c:pt>
                <c:pt idx="36">
                  <c:v>176.52136363636365</c:v>
                </c:pt>
                <c:pt idx="37">
                  <c:v>176.52136363636365</c:v>
                </c:pt>
                <c:pt idx="38">
                  <c:v>176.52136363636365</c:v>
                </c:pt>
                <c:pt idx="39">
                  <c:v>176.52136363636365</c:v>
                </c:pt>
                <c:pt idx="40">
                  <c:v>176.52136363636365</c:v>
                </c:pt>
                <c:pt idx="41">
                  <c:v>176.52136363636365</c:v>
                </c:pt>
                <c:pt idx="42">
                  <c:v>176.52136363636365</c:v>
                </c:pt>
                <c:pt idx="43">
                  <c:v>176.52136363636365</c:v>
                </c:pt>
                <c:pt idx="44">
                  <c:v>176.52136363636365</c:v>
                </c:pt>
                <c:pt idx="45">
                  <c:v>176.52136363636365</c:v>
                </c:pt>
                <c:pt idx="46">
                  <c:v>176.52136363636365</c:v>
                </c:pt>
                <c:pt idx="47">
                  <c:v>176.52136363636365</c:v>
                </c:pt>
                <c:pt idx="48">
                  <c:v>176.52136363636365</c:v>
                </c:pt>
                <c:pt idx="49">
                  <c:v>176.52136363636365</c:v>
                </c:pt>
                <c:pt idx="50">
                  <c:v>176.52136363636365</c:v>
                </c:pt>
                <c:pt idx="51">
                  <c:v>176.52136363636365</c:v>
                </c:pt>
                <c:pt idx="52">
                  <c:v>176.52136363636365</c:v>
                </c:pt>
                <c:pt idx="53">
                  <c:v>176.52136363636365</c:v>
                </c:pt>
                <c:pt idx="54">
                  <c:v>176.52136363636365</c:v>
                </c:pt>
                <c:pt idx="55">
                  <c:v>176.52136363636365</c:v>
                </c:pt>
                <c:pt idx="56">
                  <c:v>176.52136363636365</c:v>
                </c:pt>
                <c:pt idx="57">
                  <c:v>176.52136363636365</c:v>
                </c:pt>
                <c:pt idx="58">
                  <c:v>176.52136363636365</c:v>
                </c:pt>
                <c:pt idx="59">
                  <c:v>176.52136363636365</c:v>
                </c:pt>
                <c:pt idx="60">
                  <c:v>176.52136363636365</c:v>
                </c:pt>
                <c:pt idx="61">
                  <c:v>176.52136363636365</c:v>
                </c:pt>
                <c:pt idx="62">
                  <c:v>176.52136363636365</c:v>
                </c:pt>
                <c:pt idx="63">
                  <c:v>176.52136363636365</c:v>
                </c:pt>
                <c:pt idx="64">
                  <c:v>176.52136363636365</c:v>
                </c:pt>
                <c:pt idx="65">
                  <c:v>176.52136363636365</c:v>
                </c:pt>
                <c:pt idx="66">
                  <c:v>176.52136363636365</c:v>
                </c:pt>
                <c:pt idx="67">
                  <c:v>176.52136363636365</c:v>
                </c:pt>
                <c:pt idx="68">
                  <c:v>176.52136363636365</c:v>
                </c:pt>
                <c:pt idx="69">
                  <c:v>176.52136363636365</c:v>
                </c:pt>
                <c:pt idx="70">
                  <c:v>176.52136363636365</c:v>
                </c:pt>
                <c:pt idx="71">
                  <c:v>176.52136363636365</c:v>
                </c:pt>
                <c:pt idx="72">
                  <c:v>176.52136363636365</c:v>
                </c:pt>
                <c:pt idx="73">
                  <c:v>176.52136363636365</c:v>
                </c:pt>
                <c:pt idx="74">
                  <c:v>176.52136363636365</c:v>
                </c:pt>
                <c:pt idx="75">
                  <c:v>176.52136363636365</c:v>
                </c:pt>
                <c:pt idx="76">
                  <c:v>176.52136363636365</c:v>
                </c:pt>
                <c:pt idx="77">
                  <c:v>176.52136363636365</c:v>
                </c:pt>
                <c:pt idx="78">
                  <c:v>176.52136363636365</c:v>
                </c:pt>
                <c:pt idx="79">
                  <c:v>176.52136363636365</c:v>
                </c:pt>
                <c:pt idx="80">
                  <c:v>176.52136363636365</c:v>
                </c:pt>
                <c:pt idx="81">
                  <c:v>176.52136363636365</c:v>
                </c:pt>
                <c:pt idx="82">
                  <c:v>176.52136363636365</c:v>
                </c:pt>
                <c:pt idx="83">
                  <c:v>176.52136363636365</c:v>
                </c:pt>
                <c:pt idx="84">
                  <c:v>176.52136363636365</c:v>
                </c:pt>
                <c:pt idx="85">
                  <c:v>176.52136363636365</c:v>
                </c:pt>
                <c:pt idx="86">
                  <c:v>176.52136363636365</c:v>
                </c:pt>
                <c:pt idx="87">
                  <c:v>176.52136363636365</c:v>
                </c:pt>
                <c:pt idx="88">
                  <c:v>176.52136363636365</c:v>
                </c:pt>
                <c:pt idx="89">
                  <c:v>176.52136363636365</c:v>
                </c:pt>
                <c:pt idx="90">
                  <c:v>176.52136363636365</c:v>
                </c:pt>
                <c:pt idx="91">
                  <c:v>176.52136363636365</c:v>
                </c:pt>
                <c:pt idx="92">
                  <c:v>176.52136363636365</c:v>
                </c:pt>
                <c:pt idx="93">
                  <c:v>176.52136363636365</c:v>
                </c:pt>
                <c:pt idx="94">
                  <c:v>176.52136363636365</c:v>
                </c:pt>
                <c:pt idx="95">
                  <c:v>176.52136363636365</c:v>
                </c:pt>
                <c:pt idx="96">
                  <c:v>176.52136363636365</c:v>
                </c:pt>
                <c:pt idx="97">
                  <c:v>176.52136363636365</c:v>
                </c:pt>
                <c:pt idx="98">
                  <c:v>176.52136363636365</c:v>
                </c:pt>
                <c:pt idx="99">
                  <c:v>176.52136363636365</c:v>
                </c:pt>
                <c:pt idx="100">
                  <c:v>176.52136363636365</c:v>
                </c:pt>
                <c:pt idx="101">
                  <c:v>176.52136363636365</c:v>
                </c:pt>
                <c:pt idx="102">
                  <c:v>176.52136363636365</c:v>
                </c:pt>
                <c:pt idx="103">
                  <c:v>176.52136363636365</c:v>
                </c:pt>
                <c:pt idx="104">
                  <c:v>176.52136363636365</c:v>
                </c:pt>
                <c:pt idx="105">
                  <c:v>176.52136363636365</c:v>
                </c:pt>
                <c:pt idx="106">
                  <c:v>176.52136363636365</c:v>
                </c:pt>
                <c:pt idx="107">
                  <c:v>176.52136363636365</c:v>
                </c:pt>
                <c:pt idx="108">
                  <c:v>176.52136363636365</c:v>
                </c:pt>
                <c:pt idx="109">
                  <c:v>176.52136363636365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C0-4609-9BF5-A944C5EBF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9442832"/>
        <c:axId val="1529443248"/>
      </c:lineChart>
      <c:dateAx>
        <c:axId val="1529442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Dates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443248"/>
        <c:crosses val="autoZero"/>
        <c:auto val="1"/>
        <c:lblOffset val="100"/>
        <c:baseTimeUnit val="days"/>
      </c:dateAx>
      <c:valAx>
        <c:axId val="152944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Amount</a:t>
                </a:r>
              </a:p>
              <a:p>
                <a:pPr>
                  <a:defRPr/>
                </a:pP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944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74357506986317"/>
          <c:y val="0.89350264984550787"/>
          <c:w val="0.30512849860273661"/>
          <c:h val="8.64508644060439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[final.xlsx]Sheet1!PivotTable1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Variance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Sheet1!$Q$19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Sheet1!$P$20:$P$31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</c:strCache>
            </c:strRef>
          </c:cat>
          <c:val>
            <c:numRef>
              <c:f>Sheet1!$Q$20:$Q$31</c:f>
              <c:numCache>
                <c:formatCode>General</c:formatCode>
                <c:ptCount val="11"/>
                <c:pt idx="0">
                  <c:v>105.06822661029052</c:v>
                </c:pt>
                <c:pt idx="1">
                  <c:v>129.74596774874669</c:v>
                </c:pt>
                <c:pt idx="2">
                  <c:v>129.19623317522328</c:v>
                </c:pt>
                <c:pt idx="3">
                  <c:v>15.305227865013967</c:v>
                </c:pt>
                <c:pt idx="4">
                  <c:v>201.46601095824718</c:v>
                </c:pt>
                <c:pt idx="5">
                  <c:v>63.849823805551729</c:v>
                </c:pt>
                <c:pt idx="6">
                  <c:v>140.71424945612296</c:v>
                </c:pt>
                <c:pt idx="7">
                  <c:v>#N/A</c:v>
                </c:pt>
                <c:pt idx="8">
                  <c:v>378.30212793480291</c:v>
                </c:pt>
                <c:pt idx="9">
                  <c:v>167.93786053180503</c:v>
                </c:pt>
                <c:pt idx="10">
                  <c:v>205.30492565937138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63-4106-811D-86F879741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4683776"/>
        <c:axId val="1334688768"/>
      </c:lineChart>
      <c:catAx>
        <c:axId val="133468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688768"/>
        <c:crosses val="autoZero"/>
        <c:auto val="1"/>
        <c:lblAlgn val="ctr"/>
        <c:lblOffset val="100"/>
        <c:noMultiLvlLbl val="0"/>
      </c:catAx>
      <c:valAx>
        <c:axId val="133468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68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Skewness and kurtosis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Sheet2!$I$1</c:f>
              <c:strCache>
                <c:ptCount val="1"/>
                <c:pt idx="0">
                  <c:v>Skewness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Sheet2!$H$2:$H$12</c:f>
              <c:numCache>
                <c:formatCode>m/d/yyyy</c:formatCode>
                <c:ptCount val="11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</c:numCache>
            </c:numRef>
          </c:cat>
          <c:val>
            <c:numRef>
              <c:f>Sheet2!$I$2:$I$12</c:f>
              <c:numCache>
                <c:formatCode>General</c:formatCode>
                <c:ptCount val="11"/>
                <c:pt idx="0">
                  <c:v>1.0625675279674665</c:v>
                </c:pt>
                <c:pt idx="1">
                  <c:v>0.35915981652699047</c:v>
                </c:pt>
                <c:pt idx="2">
                  <c:v>0.94493371969018036</c:v>
                </c:pt>
                <c:pt idx="3">
                  <c:v>3.6956980341938577E-3</c:v>
                </c:pt>
                <c:pt idx="4">
                  <c:v>-1.5759198624733045E-2</c:v>
                </c:pt>
                <c:pt idx="5">
                  <c:v>0.55188423161632272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-0.10481292271817397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3A2-4397-A702-A2960E2911A3}"/>
            </c:ext>
          </c:extLst>
        </c:ser>
        <c:ser>
          <c:idx val="1"/>
          <c:order val="1"/>
          <c:tx>
            <c:strRef>
              <c:f>Sheet2!$J$1</c:f>
              <c:strCache>
                <c:ptCount val="1"/>
                <c:pt idx="0">
                  <c:v>Kurtosis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Sheet2!$H$2:$H$12</c:f>
              <c:numCache>
                <c:formatCode>m/d/yyyy</c:formatCode>
                <c:ptCount val="11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44835</c:v>
                </c:pt>
                <c:pt idx="9">
                  <c:v>44866</c:v>
                </c:pt>
                <c:pt idx="10">
                  <c:v>44896</c:v>
                </c:pt>
              </c:numCache>
            </c:numRef>
          </c:cat>
          <c:val>
            <c:numRef>
              <c:f>Sheet2!$J$2:$J$12</c:f>
              <c:numCache>
                <c:formatCode>General</c:formatCode>
                <c:ptCount val="11"/>
                <c:pt idx="0">
                  <c:v>0.80799442144315803</c:v>
                </c:pt>
                <c:pt idx="1">
                  <c:v>-1.0384080663456743</c:v>
                </c:pt>
                <c:pt idx="2">
                  <c:v>-0.19141632035222322</c:v>
                </c:pt>
                <c:pt idx="3">
                  <c:v>-5.9786666727412907</c:v>
                </c:pt>
                <c:pt idx="4">
                  <c:v>-2.0426591742005389</c:v>
                </c:pt>
                <c:pt idx="5">
                  <c:v>-2.6806368427718406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-2.9946545868457601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3A2-4397-A702-A2960E291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2925200"/>
        <c:axId val="1197328400"/>
      </c:lineChart>
      <c:dateAx>
        <c:axId val="1192925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328400"/>
        <c:crosses val="autoZero"/>
        <c:auto val="1"/>
        <c:lblOffset val="100"/>
        <c:baseTimeUnit val="months"/>
      </c:dateAx>
      <c:valAx>
        <c:axId val="119732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92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[final.xlsx]Sheet3!PivotTable3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Sheet3!$B$26:$B$27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Sheet3!$A$28:$A$39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</c:strCache>
            </c:strRef>
          </c:cat>
          <c:val>
            <c:numRef>
              <c:f>Sheet3!$B$28:$B$39</c:f>
              <c:numCache>
                <c:formatCode>General</c:formatCode>
                <c:ptCount val="11"/>
                <c:pt idx="0">
                  <c:v>4050.15</c:v>
                </c:pt>
                <c:pt idx="1">
                  <c:v>3839.8500000000004</c:v>
                </c:pt>
                <c:pt idx="2">
                  <c:v>360</c:v>
                </c:pt>
                <c:pt idx="3">
                  <c:v>293</c:v>
                </c:pt>
                <c:pt idx="4">
                  <c:v>953</c:v>
                </c:pt>
                <c:pt idx="5">
                  <c:v>305</c:v>
                </c:pt>
                <c:pt idx="6">
                  <c:v>15</c:v>
                </c:pt>
                <c:pt idx="7">
                  <c:v>535.29999999999995</c:v>
                </c:pt>
                <c:pt idx="8">
                  <c:v>747</c:v>
                </c:pt>
                <c:pt idx="9">
                  <c:v>508.5</c:v>
                </c:pt>
                <c:pt idx="10">
                  <c:v>872.75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EE-462F-83D9-4084AD76BAA6}"/>
            </c:ext>
          </c:extLst>
        </c:ser>
        <c:ser>
          <c:idx val="1"/>
          <c:order val="1"/>
          <c:tx>
            <c:strRef>
              <c:f>Sheet3!$C$26:$C$27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Sheet3!$A$28:$A$39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</c:strCache>
            </c:strRef>
          </c:cat>
          <c:val>
            <c:numRef>
              <c:f>Sheet3!$C$28:$C$39</c:f>
              <c:numCache>
                <c:formatCode>General</c:formatCode>
                <c:ptCount val="11"/>
                <c:pt idx="0">
                  <c:v>900</c:v>
                </c:pt>
                <c:pt idx="1">
                  <c:v>458</c:v>
                </c:pt>
                <c:pt idx="2">
                  <c:v>150</c:v>
                </c:pt>
                <c:pt idx="3">
                  <c:v>80</c:v>
                </c:pt>
                <c:pt idx="4">
                  <c:v>1070</c:v>
                </c:pt>
                <c:pt idx="10">
                  <c:v>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EE-462F-83D9-4084AD76BAA6}"/>
            </c:ext>
          </c:extLst>
        </c:ser>
        <c:ser>
          <c:idx val="2"/>
          <c:order val="2"/>
          <c:tx>
            <c:strRef>
              <c:f>Sheet3!$D$26:$D$27</c:f>
              <c:strCache>
                <c:ptCount val="1"/>
                <c:pt idx="0">
                  <c:v>Transportation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Sheet3!$A$28:$A$39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</c:strCache>
            </c:strRef>
          </c:cat>
          <c:val>
            <c:numRef>
              <c:f>Sheet3!$D$28:$D$39</c:f>
              <c:numCache>
                <c:formatCode>General</c:formatCode>
                <c:ptCount val="11"/>
                <c:pt idx="0">
                  <c:v>688</c:v>
                </c:pt>
                <c:pt idx="1">
                  <c:v>989.8</c:v>
                </c:pt>
                <c:pt idx="4">
                  <c:v>60</c:v>
                </c:pt>
                <c:pt idx="5">
                  <c:v>42</c:v>
                </c:pt>
                <c:pt idx="6">
                  <c:v>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EE-462F-83D9-4084AD76BAA6}"/>
            </c:ext>
          </c:extLst>
        </c:ser>
        <c:ser>
          <c:idx val="3"/>
          <c:order val="3"/>
          <c:tx>
            <c:strRef>
              <c:f>Sheet3!$E$26:$E$27</c:f>
              <c:strCache>
                <c:ptCount val="1"/>
                <c:pt idx="0">
                  <c:v>Apparel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Sheet3!$A$28:$A$39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</c:strCache>
            </c:strRef>
          </c:cat>
          <c:val>
            <c:numRef>
              <c:f>Sheet3!$E$28:$E$39</c:f>
              <c:numCache>
                <c:formatCode>General</c:formatCode>
                <c:ptCount val="11"/>
                <c:pt idx="1">
                  <c:v>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EE-462F-83D9-4084AD76BAA6}"/>
            </c:ext>
          </c:extLst>
        </c:ser>
        <c:ser>
          <c:idx val="4"/>
          <c:order val="4"/>
          <c:tx>
            <c:strRef>
              <c:f>Sheet3!$F$26:$F$27</c:f>
              <c:strCache>
                <c:ptCount val="1"/>
                <c:pt idx="0">
                  <c:v>Household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Sheet3!$A$28:$A$39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</c:strCache>
            </c:strRef>
          </c:cat>
          <c:val>
            <c:numRef>
              <c:f>Sheet3!$F$28:$F$39</c:f>
              <c:numCache>
                <c:formatCode>General</c:formatCode>
                <c:ptCount val="11"/>
                <c:pt idx="1">
                  <c:v>639</c:v>
                </c:pt>
                <c:pt idx="10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DEE-462F-83D9-4084AD76BAA6}"/>
            </c:ext>
          </c:extLst>
        </c:ser>
        <c:ser>
          <c:idx val="5"/>
          <c:order val="5"/>
          <c:tx>
            <c:strRef>
              <c:f>Sheet3!$G$26:$G$27</c:f>
              <c:strCache>
                <c:ptCount val="1"/>
                <c:pt idx="0">
                  <c:v>Social Life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Sheet3!$A$28:$A$39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</c:strCache>
            </c:strRef>
          </c:cat>
          <c:val>
            <c:numRef>
              <c:f>Sheet3!$G$28:$G$39</c:f>
              <c:numCache>
                <c:formatCode>General</c:formatCode>
                <c:ptCount val="11"/>
                <c:pt idx="0">
                  <c:v>200</c:v>
                </c:pt>
                <c:pt idx="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DEE-462F-83D9-4084AD76B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01979327"/>
        <c:axId val="1801975999"/>
      </c:barChart>
      <c:catAx>
        <c:axId val="1801979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975999"/>
        <c:crosses val="autoZero"/>
        <c:auto val="1"/>
        <c:lblAlgn val="ctr"/>
        <c:lblOffset val="100"/>
        <c:noMultiLvlLbl val="0"/>
      </c:catAx>
      <c:valAx>
        <c:axId val="1801975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979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aseline="0"/>
              <a:t>Count of transaction in each category 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063-4F49-933B-DB3AC76CFD4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063-4F49-933B-DB3AC76CFD4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063-4F49-933B-DB3AC76CFD4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063-4F49-933B-DB3AC76CFD4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063-4F49-933B-DB3AC76CFD4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063-4F49-933B-DB3AC76CFD41}"/>
              </c:ext>
            </c:extLst>
          </c:dPt>
          <c:cat>
            <c:strRef>
              <c:f>Sheet3!$O$22:$O$27</c:f>
              <c:strCache>
                <c:ptCount val="6"/>
                <c:pt idx="0">
                  <c:v>Food</c:v>
                </c:pt>
                <c:pt idx="1">
                  <c:v>Other</c:v>
                </c:pt>
                <c:pt idx="2">
                  <c:v>Transportation</c:v>
                </c:pt>
                <c:pt idx="3">
                  <c:v>Household</c:v>
                </c:pt>
                <c:pt idx="4">
                  <c:v>Apparel</c:v>
                </c:pt>
                <c:pt idx="5">
                  <c:v>Social life</c:v>
                </c:pt>
              </c:strCache>
            </c:strRef>
          </c:cat>
          <c:val>
            <c:numRef>
              <c:f>Sheet3!$P$22:$P$27</c:f>
              <c:numCache>
                <c:formatCode>General</c:formatCode>
                <c:ptCount val="6"/>
                <c:pt idx="0">
                  <c:v>71</c:v>
                </c:pt>
                <c:pt idx="1">
                  <c:v>16</c:v>
                </c:pt>
                <c:pt idx="2">
                  <c:v>16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3C-4643-9523-EBDA21F38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Regression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Sheet4!$D$1</c:f>
              <c:strCache>
                <c:ptCount val="1"/>
                <c:pt idx="0">
                  <c:v>Amount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8968323070193149"/>
                  <c:y val="-7.041866222907704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Sheet4!$B$2:$B$111</c:f>
              <c:numCache>
                <c:formatCode>0.00</c:formatCode>
                <c:ptCount val="110"/>
                <c:pt idx="0">
                  <c:v>44562</c:v>
                </c:pt>
                <c:pt idx="1">
                  <c:v>44564</c:v>
                </c:pt>
                <c:pt idx="2">
                  <c:v>44564</c:v>
                </c:pt>
                <c:pt idx="3">
                  <c:v>44564</c:v>
                </c:pt>
                <c:pt idx="4">
                  <c:v>44574</c:v>
                </c:pt>
                <c:pt idx="5">
                  <c:v>44574</c:v>
                </c:pt>
                <c:pt idx="6">
                  <c:v>44576</c:v>
                </c:pt>
                <c:pt idx="7">
                  <c:v>44578</c:v>
                </c:pt>
                <c:pt idx="8">
                  <c:v>44579</c:v>
                </c:pt>
                <c:pt idx="9">
                  <c:v>44579</c:v>
                </c:pt>
                <c:pt idx="10">
                  <c:v>44579</c:v>
                </c:pt>
                <c:pt idx="11">
                  <c:v>44579</c:v>
                </c:pt>
                <c:pt idx="12">
                  <c:v>44580</c:v>
                </c:pt>
                <c:pt idx="13">
                  <c:v>44582</c:v>
                </c:pt>
                <c:pt idx="14">
                  <c:v>44582</c:v>
                </c:pt>
                <c:pt idx="15">
                  <c:v>44584</c:v>
                </c:pt>
                <c:pt idx="16">
                  <c:v>44584</c:v>
                </c:pt>
                <c:pt idx="17">
                  <c:v>44584</c:v>
                </c:pt>
                <c:pt idx="18">
                  <c:v>44584</c:v>
                </c:pt>
                <c:pt idx="19">
                  <c:v>44584</c:v>
                </c:pt>
                <c:pt idx="20">
                  <c:v>44584</c:v>
                </c:pt>
                <c:pt idx="21">
                  <c:v>44585</c:v>
                </c:pt>
                <c:pt idx="22">
                  <c:v>44585</c:v>
                </c:pt>
                <c:pt idx="23">
                  <c:v>44586</c:v>
                </c:pt>
                <c:pt idx="24">
                  <c:v>44586</c:v>
                </c:pt>
                <c:pt idx="25">
                  <c:v>44586</c:v>
                </c:pt>
                <c:pt idx="26">
                  <c:v>44587</c:v>
                </c:pt>
                <c:pt idx="27">
                  <c:v>44587</c:v>
                </c:pt>
                <c:pt idx="28">
                  <c:v>44588</c:v>
                </c:pt>
                <c:pt idx="29">
                  <c:v>44588</c:v>
                </c:pt>
                <c:pt idx="30">
                  <c:v>44588</c:v>
                </c:pt>
                <c:pt idx="31">
                  <c:v>44588</c:v>
                </c:pt>
                <c:pt idx="32">
                  <c:v>44589</c:v>
                </c:pt>
                <c:pt idx="33">
                  <c:v>44589</c:v>
                </c:pt>
                <c:pt idx="34">
                  <c:v>44590</c:v>
                </c:pt>
                <c:pt idx="35">
                  <c:v>44590</c:v>
                </c:pt>
                <c:pt idx="36">
                  <c:v>44591</c:v>
                </c:pt>
                <c:pt idx="37">
                  <c:v>44591</c:v>
                </c:pt>
                <c:pt idx="38">
                  <c:v>44591</c:v>
                </c:pt>
                <c:pt idx="39">
                  <c:v>44592</c:v>
                </c:pt>
                <c:pt idx="40">
                  <c:v>44592</c:v>
                </c:pt>
                <c:pt idx="41">
                  <c:v>44592</c:v>
                </c:pt>
                <c:pt idx="42">
                  <c:v>44593</c:v>
                </c:pt>
                <c:pt idx="43">
                  <c:v>44593</c:v>
                </c:pt>
                <c:pt idx="44">
                  <c:v>44594</c:v>
                </c:pt>
                <c:pt idx="45">
                  <c:v>44595</c:v>
                </c:pt>
                <c:pt idx="46">
                  <c:v>44595</c:v>
                </c:pt>
                <c:pt idx="47">
                  <c:v>44605</c:v>
                </c:pt>
                <c:pt idx="48">
                  <c:v>44608</c:v>
                </c:pt>
                <c:pt idx="49">
                  <c:v>44608</c:v>
                </c:pt>
                <c:pt idx="50">
                  <c:v>44609</c:v>
                </c:pt>
                <c:pt idx="51">
                  <c:v>44610</c:v>
                </c:pt>
                <c:pt idx="52">
                  <c:v>44611</c:v>
                </c:pt>
                <c:pt idx="53">
                  <c:v>44611</c:v>
                </c:pt>
                <c:pt idx="54">
                  <c:v>44611</c:v>
                </c:pt>
                <c:pt idx="55">
                  <c:v>44611</c:v>
                </c:pt>
                <c:pt idx="56">
                  <c:v>44611</c:v>
                </c:pt>
                <c:pt idx="57">
                  <c:v>44611</c:v>
                </c:pt>
                <c:pt idx="58">
                  <c:v>44611</c:v>
                </c:pt>
                <c:pt idx="59">
                  <c:v>44612</c:v>
                </c:pt>
                <c:pt idx="60">
                  <c:v>44613</c:v>
                </c:pt>
                <c:pt idx="61">
                  <c:v>44613</c:v>
                </c:pt>
                <c:pt idx="62">
                  <c:v>44613</c:v>
                </c:pt>
                <c:pt idx="63">
                  <c:v>44614</c:v>
                </c:pt>
                <c:pt idx="64">
                  <c:v>44615</c:v>
                </c:pt>
                <c:pt idx="65">
                  <c:v>44615</c:v>
                </c:pt>
                <c:pt idx="66">
                  <c:v>44615</c:v>
                </c:pt>
                <c:pt idx="67">
                  <c:v>44616</c:v>
                </c:pt>
                <c:pt idx="68">
                  <c:v>44616</c:v>
                </c:pt>
                <c:pt idx="69">
                  <c:v>44616</c:v>
                </c:pt>
                <c:pt idx="70">
                  <c:v>44617</c:v>
                </c:pt>
                <c:pt idx="71">
                  <c:v>44618</c:v>
                </c:pt>
                <c:pt idx="72">
                  <c:v>44618</c:v>
                </c:pt>
                <c:pt idx="73">
                  <c:v>44618</c:v>
                </c:pt>
                <c:pt idx="74">
                  <c:v>44618</c:v>
                </c:pt>
                <c:pt idx="75">
                  <c:v>44619</c:v>
                </c:pt>
                <c:pt idx="76">
                  <c:v>44620</c:v>
                </c:pt>
                <c:pt idx="77">
                  <c:v>44621</c:v>
                </c:pt>
                <c:pt idx="78">
                  <c:v>44621</c:v>
                </c:pt>
                <c:pt idx="79">
                  <c:v>44622</c:v>
                </c:pt>
                <c:pt idx="80">
                  <c:v>44622</c:v>
                </c:pt>
                <c:pt idx="81">
                  <c:v>44652</c:v>
                </c:pt>
                <c:pt idx="82">
                  <c:v>44652</c:v>
                </c:pt>
                <c:pt idx="83">
                  <c:v>44652</c:v>
                </c:pt>
                <c:pt idx="84">
                  <c:v>44653</c:v>
                </c:pt>
                <c:pt idx="85">
                  <c:v>44682</c:v>
                </c:pt>
                <c:pt idx="86">
                  <c:v>44682</c:v>
                </c:pt>
                <c:pt idx="87">
                  <c:v>44682</c:v>
                </c:pt>
                <c:pt idx="88">
                  <c:v>44682</c:v>
                </c:pt>
                <c:pt idx="89">
                  <c:v>44682</c:v>
                </c:pt>
                <c:pt idx="90">
                  <c:v>44682</c:v>
                </c:pt>
                <c:pt idx="91">
                  <c:v>44682</c:v>
                </c:pt>
                <c:pt idx="92">
                  <c:v>44682</c:v>
                </c:pt>
                <c:pt idx="93">
                  <c:v>44713</c:v>
                </c:pt>
                <c:pt idx="94">
                  <c:v>44713</c:v>
                </c:pt>
                <c:pt idx="95">
                  <c:v>44713</c:v>
                </c:pt>
                <c:pt idx="96">
                  <c:v>44714</c:v>
                </c:pt>
                <c:pt idx="97">
                  <c:v>44714</c:v>
                </c:pt>
                <c:pt idx="98">
                  <c:v>44743</c:v>
                </c:pt>
                <c:pt idx="99">
                  <c:v>44744</c:v>
                </c:pt>
                <c:pt idx="100">
                  <c:v>44774</c:v>
                </c:pt>
                <c:pt idx="101">
                  <c:v>44835</c:v>
                </c:pt>
                <c:pt idx="102">
                  <c:v>44836</c:v>
                </c:pt>
                <c:pt idx="103">
                  <c:v>44866</c:v>
                </c:pt>
                <c:pt idx="104">
                  <c:v>44867</c:v>
                </c:pt>
                <c:pt idx="105">
                  <c:v>44896</c:v>
                </c:pt>
                <c:pt idx="106">
                  <c:v>44896</c:v>
                </c:pt>
                <c:pt idx="107">
                  <c:v>44897</c:v>
                </c:pt>
                <c:pt idx="108">
                  <c:v>44897</c:v>
                </c:pt>
                <c:pt idx="109">
                  <c:v>44897</c:v>
                </c:pt>
              </c:numCache>
            </c:numRef>
          </c:cat>
          <c:val>
            <c:numRef>
              <c:f>Sheet4!$D$2:$D$111</c:f>
              <c:numCache>
                <c:formatCode>General</c:formatCode>
                <c:ptCount val="110"/>
                <c:pt idx="0">
                  <c:v>85</c:v>
                </c:pt>
                <c:pt idx="1">
                  <c:v>78</c:v>
                </c:pt>
                <c:pt idx="2">
                  <c:v>30</c:v>
                </c:pt>
                <c:pt idx="3">
                  <c:v>67</c:v>
                </c:pt>
                <c:pt idx="4">
                  <c:v>66</c:v>
                </c:pt>
                <c:pt idx="5">
                  <c:v>43</c:v>
                </c:pt>
                <c:pt idx="6">
                  <c:v>70</c:v>
                </c:pt>
                <c:pt idx="7">
                  <c:v>100</c:v>
                </c:pt>
                <c:pt idx="8">
                  <c:v>301.14999999999998</c:v>
                </c:pt>
                <c:pt idx="9">
                  <c:v>59</c:v>
                </c:pt>
                <c:pt idx="10">
                  <c:v>148</c:v>
                </c:pt>
                <c:pt idx="11">
                  <c:v>200</c:v>
                </c:pt>
                <c:pt idx="12">
                  <c:v>171</c:v>
                </c:pt>
                <c:pt idx="13">
                  <c:v>188</c:v>
                </c:pt>
                <c:pt idx="14">
                  <c:v>37</c:v>
                </c:pt>
                <c:pt idx="15">
                  <c:v>40</c:v>
                </c:pt>
                <c:pt idx="16">
                  <c:v>465</c:v>
                </c:pt>
                <c:pt idx="17">
                  <c:v>300</c:v>
                </c:pt>
                <c:pt idx="18">
                  <c:v>302</c:v>
                </c:pt>
                <c:pt idx="19">
                  <c:v>176</c:v>
                </c:pt>
                <c:pt idx="20">
                  <c:v>200</c:v>
                </c:pt>
                <c:pt idx="21">
                  <c:v>40</c:v>
                </c:pt>
                <c:pt idx="22">
                  <c:v>133</c:v>
                </c:pt>
                <c:pt idx="23">
                  <c:v>259</c:v>
                </c:pt>
                <c:pt idx="24">
                  <c:v>18</c:v>
                </c:pt>
                <c:pt idx="25">
                  <c:v>325</c:v>
                </c:pt>
                <c:pt idx="26">
                  <c:v>115</c:v>
                </c:pt>
                <c:pt idx="27">
                  <c:v>25</c:v>
                </c:pt>
                <c:pt idx="28">
                  <c:v>43</c:v>
                </c:pt>
                <c:pt idx="29">
                  <c:v>300</c:v>
                </c:pt>
                <c:pt idx="30">
                  <c:v>100</c:v>
                </c:pt>
                <c:pt idx="31">
                  <c:v>279</c:v>
                </c:pt>
                <c:pt idx="32">
                  <c:v>10</c:v>
                </c:pt>
                <c:pt idx="33">
                  <c:v>138</c:v>
                </c:pt>
                <c:pt idx="34">
                  <c:v>44</c:v>
                </c:pt>
                <c:pt idx="35">
                  <c:v>100</c:v>
                </c:pt>
                <c:pt idx="36">
                  <c:v>155</c:v>
                </c:pt>
                <c:pt idx="37">
                  <c:v>120</c:v>
                </c:pt>
                <c:pt idx="38">
                  <c:v>105</c:v>
                </c:pt>
                <c:pt idx="39">
                  <c:v>50</c:v>
                </c:pt>
                <c:pt idx="40">
                  <c:v>200</c:v>
                </c:pt>
                <c:pt idx="41">
                  <c:v>153</c:v>
                </c:pt>
                <c:pt idx="42">
                  <c:v>8</c:v>
                </c:pt>
                <c:pt idx="43">
                  <c:v>200</c:v>
                </c:pt>
                <c:pt idx="44">
                  <c:v>120</c:v>
                </c:pt>
                <c:pt idx="45">
                  <c:v>50</c:v>
                </c:pt>
                <c:pt idx="46">
                  <c:v>300</c:v>
                </c:pt>
                <c:pt idx="47">
                  <c:v>100</c:v>
                </c:pt>
                <c:pt idx="48">
                  <c:v>165</c:v>
                </c:pt>
                <c:pt idx="49">
                  <c:v>475</c:v>
                </c:pt>
                <c:pt idx="50">
                  <c:v>80</c:v>
                </c:pt>
                <c:pt idx="51">
                  <c:v>348</c:v>
                </c:pt>
                <c:pt idx="52">
                  <c:v>111</c:v>
                </c:pt>
                <c:pt idx="53">
                  <c:v>250</c:v>
                </c:pt>
                <c:pt idx="54">
                  <c:v>200</c:v>
                </c:pt>
                <c:pt idx="55">
                  <c:v>380</c:v>
                </c:pt>
                <c:pt idx="56">
                  <c:v>60</c:v>
                </c:pt>
                <c:pt idx="57">
                  <c:v>50</c:v>
                </c:pt>
                <c:pt idx="58">
                  <c:v>270</c:v>
                </c:pt>
                <c:pt idx="59">
                  <c:v>200</c:v>
                </c:pt>
                <c:pt idx="60">
                  <c:v>138</c:v>
                </c:pt>
                <c:pt idx="61">
                  <c:v>336</c:v>
                </c:pt>
                <c:pt idx="62">
                  <c:v>201.8</c:v>
                </c:pt>
                <c:pt idx="63">
                  <c:v>120</c:v>
                </c:pt>
                <c:pt idx="64">
                  <c:v>399</c:v>
                </c:pt>
                <c:pt idx="65">
                  <c:v>83</c:v>
                </c:pt>
                <c:pt idx="66">
                  <c:v>399</c:v>
                </c:pt>
                <c:pt idx="67">
                  <c:v>303</c:v>
                </c:pt>
                <c:pt idx="68">
                  <c:v>289</c:v>
                </c:pt>
                <c:pt idx="69">
                  <c:v>324.7</c:v>
                </c:pt>
                <c:pt idx="70">
                  <c:v>33</c:v>
                </c:pt>
                <c:pt idx="71">
                  <c:v>25</c:v>
                </c:pt>
                <c:pt idx="72">
                  <c:v>100</c:v>
                </c:pt>
                <c:pt idx="73">
                  <c:v>40</c:v>
                </c:pt>
                <c:pt idx="74">
                  <c:v>84</c:v>
                </c:pt>
                <c:pt idx="75">
                  <c:v>243</c:v>
                </c:pt>
                <c:pt idx="76">
                  <c:v>339.15</c:v>
                </c:pt>
                <c:pt idx="77">
                  <c:v>10</c:v>
                </c:pt>
                <c:pt idx="78">
                  <c:v>300</c:v>
                </c:pt>
                <c:pt idx="79">
                  <c:v>50</c:v>
                </c:pt>
                <c:pt idx="80">
                  <c:v>150</c:v>
                </c:pt>
                <c:pt idx="81">
                  <c:v>106</c:v>
                </c:pt>
                <c:pt idx="82">
                  <c:v>80</c:v>
                </c:pt>
                <c:pt idx="83">
                  <c:v>107</c:v>
                </c:pt>
                <c:pt idx="84">
                  <c:v>80</c:v>
                </c:pt>
                <c:pt idx="85">
                  <c:v>211</c:v>
                </c:pt>
                <c:pt idx="86">
                  <c:v>40</c:v>
                </c:pt>
                <c:pt idx="87">
                  <c:v>30</c:v>
                </c:pt>
                <c:pt idx="88">
                  <c:v>354</c:v>
                </c:pt>
                <c:pt idx="89">
                  <c:v>500</c:v>
                </c:pt>
                <c:pt idx="90">
                  <c:v>500</c:v>
                </c:pt>
                <c:pt idx="91">
                  <c:v>60</c:v>
                </c:pt>
                <c:pt idx="92">
                  <c:v>388</c:v>
                </c:pt>
                <c:pt idx="93">
                  <c:v>20</c:v>
                </c:pt>
                <c:pt idx="94">
                  <c:v>10</c:v>
                </c:pt>
                <c:pt idx="95">
                  <c:v>42</c:v>
                </c:pt>
                <c:pt idx="96">
                  <c:v>125</c:v>
                </c:pt>
                <c:pt idx="97">
                  <c:v>150</c:v>
                </c:pt>
                <c:pt idx="98">
                  <c:v>15</c:v>
                </c:pt>
                <c:pt idx="99">
                  <c:v>214</c:v>
                </c:pt>
                <c:pt idx="100">
                  <c:v>535.29999999999995</c:v>
                </c:pt>
                <c:pt idx="101">
                  <c:v>106</c:v>
                </c:pt>
                <c:pt idx="102">
                  <c:v>641</c:v>
                </c:pt>
                <c:pt idx="103">
                  <c:v>135.5</c:v>
                </c:pt>
                <c:pt idx="104">
                  <c:v>373</c:v>
                </c:pt>
                <c:pt idx="105">
                  <c:v>479</c:v>
                </c:pt>
                <c:pt idx="106">
                  <c:v>301.75</c:v>
                </c:pt>
                <c:pt idx="107">
                  <c:v>491</c:v>
                </c:pt>
                <c:pt idx="108">
                  <c:v>70</c:v>
                </c:pt>
                <c:pt idx="109">
                  <c:v>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179-4C2A-96AE-7FF0A4CCE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3885104"/>
        <c:axId val="1333881776"/>
      </c:lineChart>
      <c:catAx>
        <c:axId val="1333885104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881776"/>
        <c:crosses val="autoZero"/>
        <c:auto val="1"/>
        <c:lblAlgn val="ctr"/>
        <c:lblOffset val="100"/>
        <c:noMultiLvlLbl val="1"/>
      </c:catAx>
      <c:valAx>
        <c:axId val="133388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885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44562  Residual Plot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Sheet5!$D$3:$D$111</c:f>
              <c:numCache>
                <c:formatCode>0.00</c:formatCode>
                <c:ptCount val="109"/>
                <c:pt idx="0">
                  <c:v>44564</c:v>
                </c:pt>
                <c:pt idx="1">
                  <c:v>44564</c:v>
                </c:pt>
                <c:pt idx="2">
                  <c:v>44564</c:v>
                </c:pt>
                <c:pt idx="3">
                  <c:v>44574</c:v>
                </c:pt>
                <c:pt idx="4">
                  <c:v>44574</c:v>
                </c:pt>
                <c:pt idx="5">
                  <c:v>44576</c:v>
                </c:pt>
                <c:pt idx="6">
                  <c:v>44578</c:v>
                </c:pt>
                <c:pt idx="7">
                  <c:v>44579</c:v>
                </c:pt>
                <c:pt idx="8">
                  <c:v>44579</c:v>
                </c:pt>
                <c:pt idx="9">
                  <c:v>44579</c:v>
                </c:pt>
                <c:pt idx="10">
                  <c:v>44579</c:v>
                </c:pt>
                <c:pt idx="11">
                  <c:v>44580</c:v>
                </c:pt>
                <c:pt idx="12">
                  <c:v>44582</c:v>
                </c:pt>
                <c:pt idx="13">
                  <c:v>44582</c:v>
                </c:pt>
                <c:pt idx="14">
                  <c:v>44584</c:v>
                </c:pt>
                <c:pt idx="15">
                  <c:v>44584</c:v>
                </c:pt>
                <c:pt idx="16">
                  <c:v>44584</c:v>
                </c:pt>
                <c:pt idx="17">
                  <c:v>44584</c:v>
                </c:pt>
                <c:pt idx="18">
                  <c:v>44584</c:v>
                </c:pt>
                <c:pt idx="19">
                  <c:v>44584</c:v>
                </c:pt>
                <c:pt idx="20">
                  <c:v>44585</c:v>
                </c:pt>
                <c:pt idx="21">
                  <c:v>44585</c:v>
                </c:pt>
                <c:pt idx="22">
                  <c:v>44586</c:v>
                </c:pt>
                <c:pt idx="23">
                  <c:v>44586</c:v>
                </c:pt>
                <c:pt idx="24">
                  <c:v>44586</c:v>
                </c:pt>
                <c:pt idx="25">
                  <c:v>44587</c:v>
                </c:pt>
                <c:pt idx="26">
                  <c:v>44587</c:v>
                </c:pt>
                <c:pt idx="27">
                  <c:v>44588</c:v>
                </c:pt>
                <c:pt idx="28">
                  <c:v>44588</c:v>
                </c:pt>
                <c:pt idx="29">
                  <c:v>44588</c:v>
                </c:pt>
                <c:pt idx="30">
                  <c:v>44588</c:v>
                </c:pt>
                <c:pt idx="31">
                  <c:v>44589</c:v>
                </c:pt>
                <c:pt idx="32">
                  <c:v>44589</c:v>
                </c:pt>
                <c:pt idx="33">
                  <c:v>44590</c:v>
                </c:pt>
                <c:pt idx="34">
                  <c:v>44590</c:v>
                </c:pt>
                <c:pt idx="35">
                  <c:v>44591</c:v>
                </c:pt>
                <c:pt idx="36">
                  <c:v>44591</c:v>
                </c:pt>
                <c:pt idx="37">
                  <c:v>44591</c:v>
                </c:pt>
                <c:pt idx="38">
                  <c:v>44592</c:v>
                </c:pt>
                <c:pt idx="39">
                  <c:v>44592</c:v>
                </c:pt>
                <c:pt idx="40">
                  <c:v>44592</c:v>
                </c:pt>
                <c:pt idx="41">
                  <c:v>44593</c:v>
                </c:pt>
                <c:pt idx="42">
                  <c:v>44593</c:v>
                </c:pt>
                <c:pt idx="43">
                  <c:v>44594</c:v>
                </c:pt>
                <c:pt idx="44">
                  <c:v>44595</c:v>
                </c:pt>
                <c:pt idx="45">
                  <c:v>44595</c:v>
                </c:pt>
                <c:pt idx="46">
                  <c:v>44605</c:v>
                </c:pt>
                <c:pt idx="47">
                  <c:v>44608</c:v>
                </c:pt>
                <c:pt idx="48">
                  <c:v>44608</c:v>
                </c:pt>
                <c:pt idx="49">
                  <c:v>44609</c:v>
                </c:pt>
                <c:pt idx="50">
                  <c:v>44610</c:v>
                </c:pt>
                <c:pt idx="51">
                  <c:v>44611</c:v>
                </c:pt>
                <c:pt idx="52">
                  <c:v>44611</c:v>
                </c:pt>
                <c:pt idx="53">
                  <c:v>44611</c:v>
                </c:pt>
                <c:pt idx="54">
                  <c:v>44611</c:v>
                </c:pt>
                <c:pt idx="55">
                  <c:v>44611</c:v>
                </c:pt>
                <c:pt idx="56">
                  <c:v>44611</c:v>
                </c:pt>
                <c:pt idx="57">
                  <c:v>44611</c:v>
                </c:pt>
                <c:pt idx="58">
                  <c:v>44612</c:v>
                </c:pt>
                <c:pt idx="59">
                  <c:v>44613</c:v>
                </c:pt>
                <c:pt idx="60">
                  <c:v>44613</c:v>
                </c:pt>
                <c:pt idx="61">
                  <c:v>44613</c:v>
                </c:pt>
                <c:pt idx="62">
                  <c:v>44614</c:v>
                </c:pt>
                <c:pt idx="63">
                  <c:v>44615</c:v>
                </c:pt>
                <c:pt idx="64">
                  <c:v>44615</c:v>
                </c:pt>
                <c:pt idx="65">
                  <c:v>44615</c:v>
                </c:pt>
                <c:pt idx="66">
                  <c:v>44616</c:v>
                </c:pt>
                <c:pt idx="67">
                  <c:v>44616</c:v>
                </c:pt>
                <c:pt idx="68">
                  <c:v>44616</c:v>
                </c:pt>
                <c:pt idx="69">
                  <c:v>44617</c:v>
                </c:pt>
                <c:pt idx="70">
                  <c:v>44618</c:v>
                </c:pt>
                <c:pt idx="71">
                  <c:v>44618</c:v>
                </c:pt>
                <c:pt idx="72">
                  <c:v>44618</c:v>
                </c:pt>
                <c:pt idx="73">
                  <c:v>44618</c:v>
                </c:pt>
                <c:pt idx="74">
                  <c:v>44619</c:v>
                </c:pt>
                <c:pt idx="75">
                  <c:v>44620</c:v>
                </c:pt>
                <c:pt idx="76">
                  <c:v>44621</c:v>
                </c:pt>
                <c:pt idx="77">
                  <c:v>44621</c:v>
                </c:pt>
                <c:pt idx="78">
                  <c:v>44622</c:v>
                </c:pt>
                <c:pt idx="79">
                  <c:v>44622</c:v>
                </c:pt>
                <c:pt idx="80">
                  <c:v>44652</c:v>
                </c:pt>
                <c:pt idx="81">
                  <c:v>44652</c:v>
                </c:pt>
                <c:pt idx="82">
                  <c:v>44652</c:v>
                </c:pt>
                <c:pt idx="83">
                  <c:v>44653</c:v>
                </c:pt>
                <c:pt idx="84">
                  <c:v>44682</c:v>
                </c:pt>
                <c:pt idx="85">
                  <c:v>44682</c:v>
                </c:pt>
                <c:pt idx="86">
                  <c:v>44682</c:v>
                </c:pt>
                <c:pt idx="87">
                  <c:v>44682</c:v>
                </c:pt>
                <c:pt idx="88">
                  <c:v>44682</c:v>
                </c:pt>
                <c:pt idx="89">
                  <c:v>44682</c:v>
                </c:pt>
                <c:pt idx="90">
                  <c:v>44682</c:v>
                </c:pt>
                <c:pt idx="91">
                  <c:v>44682</c:v>
                </c:pt>
                <c:pt idx="92">
                  <c:v>44713</c:v>
                </c:pt>
                <c:pt idx="93">
                  <c:v>44713</c:v>
                </c:pt>
                <c:pt idx="94">
                  <c:v>44713</c:v>
                </c:pt>
                <c:pt idx="95">
                  <c:v>44714</c:v>
                </c:pt>
                <c:pt idx="96">
                  <c:v>44714</c:v>
                </c:pt>
                <c:pt idx="97">
                  <c:v>44743</c:v>
                </c:pt>
                <c:pt idx="98">
                  <c:v>44744</c:v>
                </c:pt>
                <c:pt idx="99">
                  <c:v>44774</c:v>
                </c:pt>
                <c:pt idx="100">
                  <c:v>44835</c:v>
                </c:pt>
                <c:pt idx="101">
                  <c:v>44836</c:v>
                </c:pt>
                <c:pt idx="102">
                  <c:v>44866</c:v>
                </c:pt>
                <c:pt idx="103">
                  <c:v>44867</c:v>
                </c:pt>
                <c:pt idx="104">
                  <c:v>44896</c:v>
                </c:pt>
                <c:pt idx="105">
                  <c:v>44896</c:v>
                </c:pt>
                <c:pt idx="106">
                  <c:v>44897</c:v>
                </c:pt>
                <c:pt idx="107">
                  <c:v>44897</c:v>
                </c:pt>
                <c:pt idx="108">
                  <c:v>44897</c:v>
                </c:pt>
              </c:numCache>
            </c:numRef>
          </c:xVal>
          <c:yVal>
            <c:numRef>
              <c:f>Sheet5!$O$31:$O$139</c:f>
              <c:numCache>
                <c:formatCode>General</c:formatCode>
                <c:ptCount val="109"/>
                <c:pt idx="13">
                  <c:v>0</c:v>
                </c:pt>
                <c:pt idx="14">
                  <c:v>313216.02125835535</c:v>
                </c:pt>
                <c:pt idx="15">
                  <c:v>1928941.656037099</c:v>
                </c:pt>
                <c:pt idx="16">
                  <c:v>2242157.6772954543</c:v>
                </c:pt>
                <c:pt idx="18">
                  <c:v>0</c:v>
                </c:pt>
                <c:pt idx="19">
                  <c:v>7116.034782549692</c:v>
                </c:pt>
                <c:pt idx="20">
                  <c:v>0.15955727311402412</c:v>
                </c:pt>
                <c:pt idx="21">
                  <c:v>98.385875509410468</c:v>
                </c:pt>
                <c:pt idx="22">
                  <c:v>102.70874359585999</c:v>
                </c:pt>
                <c:pt idx="23">
                  <c:v>102.90153606894206</c:v>
                </c:pt>
                <c:pt idx="24">
                  <c:v>0</c:v>
                </c:pt>
                <c:pt idx="25">
                  <c:v>136.8878659269127</c:v>
                </c:pt>
                <c:pt idx="26">
                  <c:v>126.24639075709676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E5-47A7-84EE-803ECF16B3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9717391"/>
        <c:axId val="1909717807"/>
      </c:scatterChart>
      <c:valAx>
        <c:axId val="19097173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44562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1909717807"/>
        <c:crosses val="autoZero"/>
        <c:crossBetween val="midCat"/>
      </c:valAx>
      <c:valAx>
        <c:axId val="190971780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90971739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1  Residual Plot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Sheet5!$E$3:$E$111</c:f>
              <c:numCache>
                <c:formatCode>General</c:formatCode>
                <c:ptCount val="109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0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0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0</c:v>
                </c:pt>
                <c:pt idx="105">
                  <c:v>1</c:v>
                </c:pt>
                <c:pt idx="106">
                  <c:v>1</c:v>
                </c:pt>
                <c:pt idx="107">
                  <c:v>0</c:v>
                </c:pt>
                <c:pt idx="108">
                  <c:v>1</c:v>
                </c:pt>
              </c:numCache>
            </c:numRef>
          </c:xVal>
          <c:yVal>
            <c:numRef>
              <c:f>Sheet5!$O$31:$O$139</c:f>
              <c:numCache>
                <c:formatCode>General</c:formatCode>
                <c:ptCount val="109"/>
                <c:pt idx="13">
                  <c:v>0</c:v>
                </c:pt>
                <c:pt idx="14">
                  <c:v>313216.02125835535</c:v>
                </c:pt>
                <c:pt idx="15">
                  <c:v>1928941.656037099</c:v>
                </c:pt>
                <c:pt idx="16">
                  <c:v>2242157.6772954543</c:v>
                </c:pt>
                <c:pt idx="18">
                  <c:v>0</c:v>
                </c:pt>
                <c:pt idx="19">
                  <c:v>7116.034782549692</c:v>
                </c:pt>
                <c:pt idx="20">
                  <c:v>0.15955727311402412</c:v>
                </c:pt>
                <c:pt idx="21">
                  <c:v>98.385875509410468</c:v>
                </c:pt>
                <c:pt idx="22">
                  <c:v>102.70874359585999</c:v>
                </c:pt>
                <c:pt idx="23">
                  <c:v>102.90153606894206</c:v>
                </c:pt>
                <c:pt idx="24">
                  <c:v>0</c:v>
                </c:pt>
                <c:pt idx="25">
                  <c:v>136.8878659269127</c:v>
                </c:pt>
                <c:pt idx="26">
                  <c:v>126.24639075709676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D1-4150-9F12-E3137978B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817903"/>
        <c:axId val="1787826639"/>
      </c:scatterChart>
      <c:valAx>
        <c:axId val="17878179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1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787826639"/>
        <c:crosses val="autoZero"/>
        <c:crossBetween val="midCat"/>
      </c:valAx>
      <c:valAx>
        <c:axId val="17878266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787817903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0  Residual Plot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Sheet5!$F$3:$F$111</c:f>
              <c:numCache>
                <c:formatCode>General</c:formatCode>
                <c:ptCount val="109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1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</c:numCache>
            </c:numRef>
          </c:xVal>
          <c:yVal>
            <c:numRef>
              <c:f>Sheet5!$O$31:$O$139</c:f>
              <c:numCache>
                <c:formatCode>General</c:formatCode>
                <c:ptCount val="109"/>
                <c:pt idx="13">
                  <c:v>0</c:v>
                </c:pt>
                <c:pt idx="14">
                  <c:v>313216.02125835535</c:v>
                </c:pt>
                <c:pt idx="15">
                  <c:v>1928941.656037099</c:v>
                </c:pt>
                <c:pt idx="16">
                  <c:v>2242157.6772954543</c:v>
                </c:pt>
                <c:pt idx="18">
                  <c:v>0</c:v>
                </c:pt>
                <c:pt idx="19">
                  <c:v>7116.034782549692</c:v>
                </c:pt>
                <c:pt idx="20">
                  <c:v>0.15955727311402412</c:v>
                </c:pt>
                <c:pt idx="21">
                  <c:v>98.385875509410468</c:v>
                </c:pt>
                <c:pt idx="22">
                  <c:v>102.70874359585999</c:v>
                </c:pt>
                <c:pt idx="23">
                  <c:v>102.90153606894206</c:v>
                </c:pt>
                <c:pt idx="24">
                  <c:v>0</c:v>
                </c:pt>
                <c:pt idx="25">
                  <c:v>136.8878659269127</c:v>
                </c:pt>
                <c:pt idx="26">
                  <c:v>126.24639075709676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D0-4CC2-A109-9F2CD9DD8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817487"/>
        <c:axId val="1787818735"/>
      </c:scatterChart>
      <c:valAx>
        <c:axId val="17878174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0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787818735"/>
        <c:crosses val="autoZero"/>
        <c:crossBetween val="midCat"/>
      </c:valAx>
      <c:valAx>
        <c:axId val="178781873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787817487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0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Sheet5!$G$3:$G$111</c:f>
              <c:numCache>
                <c:formatCode>General</c:formatCode>
                <c:ptCount val="1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0</c:v>
                </c:pt>
                <c:pt idx="81">
                  <c:v>1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1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</c:numCache>
            </c:numRef>
          </c:xVal>
          <c:yVal>
            <c:numRef>
              <c:f>Sheet5!$O$31:$O$139</c:f>
              <c:numCache>
                <c:formatCode>General</c:formatCode>
                <c:ptCount val="109"/>
                <c:pt idx="13">
                  <c:v>0</c:v>
                </c:pt>
                <c:pt idx="14">
                  <c:v>313216.02125835535</c:v>
                </c:pt>
                <c:pt idx="15">
                  <c:v>1928941.656037099</c:v>
                </c:pt>
                <c:pt idx="16">
                  <c:v>2242157.6772954543</c:v>
                </c:pt>
                <c:pt idx="18">
                  <c:v>0</c:v>
                </c:pt>
                <c:pt idx="19">
                  <c:v>7116.034782549692</c:v>
                </c:pt>
                <c:pt idx="20">
                  <c:v>0.15955727311402412</c:v>
                </c:pt>
                <c:pt idx="21">
                  <c:v>98.385875509410468</c:v>
                </c:pt>
                <c:pt idx="22">
                  <c:v>102.70874359585999</c:v>
                </c:pt>
                <c:pt idx="23">
                  <c:v>102.90153606894206</c:v>
                </c:pt>
                <c:pt idx="24">
                  <c:v>0</c:v>
                </c:pt>
                <c:pt idx="25">
                  <c:v>136.8878659269127</c:v>
                </c:pt>
                <c:pt idx="26">
                  <c:v>126.24639075709676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EF-4426-97CB-5F19524E7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814159"/>
        <c:axId val="1787819983"/>
      </c:scatterChart>
      <c:valAx>
        <c:axId val="17878141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87819983"/>
        <c:crosses val="autoZero"/>
        <c:crossBetween val="midCat"/>
      </c:valAx>
      <c:valAx>
        <c:axId val="17878199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87814159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0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Sheet5!$H$3:$H$111</c:f>
              <c:numCache>
                <c:formatCode>General</c:formatCode>
                <c:ptCount val="1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</c:numCache>
            </c:numRef>
          </c:xVal>
          <c:yVal>
            <c:numRef>
              <c:f>Sheet5!$O$31:$O$139</c:f>
              <c:numCache>
                <c:formatCode>General</c:formatCode>
                <c:ptCount val="109"/>
                <c:pt idx="13">
                  <c:v>0</c:v>
                </c:pt>
                <c:pt idx="14">
                  <c:v>313216.02125835535</c:v>
                </c:pt>
                <c:pt idx="15">
                  <c:v>1928941.656037099</c:v>
                </c:pt>
                <c:pt idx="16">
                  <c:v>2242157.6772954543</c:v>
                </c:pt>
                <c:pt idx="18">
                  <c:v>0</c:v>
                </c:pt>
                <c:pt idx="19">
                  <c:v>7116.034782549692</c:v>
                </c:pt>
                <c:pt idx="20">
                  <c:v>0.15955727311402412</c:v>
                </c:pt>
                <c:pt idx="21">
                  <c:v>98.385875509410468</c:v>
                </c:pt>
                <c:pt idx="22">
                  <c:v>102.70874359585999</c:v>
                </c:pt>
                <c:pt idx="23">
                  <c:v>102.90153606894206</c:v>
                </c:pt>
                <c:pt idx="24">
                  <c:v>0</c:v>
                </c:pt>
                <c:pt idx="25">
                  <c:v>136.8878659269127</c:v>
                </c:pt>
                <c:pt idx="26">
                  <c:v>126.24639075709676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B0-44EF-A6DB-AAF0DD4AA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3864063"/>
        <c:axId val="1783861983"/>
      </c:scatterChart>
      <c:valAx>
        <c:axId val="17838640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83861983"/>
        <c:crosses val="autoZero"/>
        <c:crossBetween val="midCat"/>
      </c:valAx>
      <c:valAx>
        <c:axId val="17838619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83864063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0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Sheet5!$I$3:$I$111</c:f>
              <c:numCache>
                <c:formatCode>General</c:formatCode>
                <c:ptCount val="1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</c:numCache>
            </c:numRef>
          </c:xVal>
          <c:yVal>
            <c:numRef>
              <c:f>Sheet5!$O$31:$O$139</c:f>
              <c:numCache>
                <c:formatCode>General</c:formatCode>
                <c:ptCount val="109"/>
                <c:pt idx="13">
                  <c:v>0</c:v>
                </c:pt>
                <c:pt idx="14">
                  <c:v>313216.02125835535</c:v>
                </c:pt>
                <c:pt idx="15">
                  <c:v>1928941.656037099</c:v>
                </c:pt>
                <c:pt idx="16">
                  <c:v>2242157.6772954543</c:v>
                </c:pt>
                <c:pt idx="18">
                  <c:v>0</c:v>
                </c:pt>
                <c:pt idx="19">
                  <c:v>7116.034782549692</c:v>
                </c:pt>
                <c:pt idx="20">
                  <c:v>0.15955727311402412</c:v>
                </c:pt>
                <c:pt idx="21">
                  <c:v>98.385875509410468</c:v>
                </c:pt>
                <c:pt idx="22">
                  <c:v>102.70874359585999</c:v>
                </c:pt>
                <c:pt idx="23">
                  <c:v>102.90153606894206</c:v>
                </c:pt>
                <c:pt idx="24">
                  <c:v>0</c:v>
                </c:pt>
                <c:pt idx="25">
                  <c:v>136.8878659269127</c:v>
                </c:pt>
                <c:pt idx="26">
                  <c:v>126.24639075709676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B4-4D71-ACDB-D4851D062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3859071"/>
        <c:axId val="1783860319"/>
      </c:scatterChart>
      <c:valAx>
        <c:axId val="17838590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83860319"/>
        <c:crosses val="autoZero"/>
        <c:crossBetween val="midCat"/>
      </c:valAx>
      <c:valAx>
        <c:axId val="17838603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83859071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0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Sheet5!$J$3:$J$111</c:f>
              <c:numCache>
                <c:formatCode>General</c:formatCode>
                <c:ptCount val="1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</c:v>
                </c:pt>
                <c:pt idx="108">
                  <c:v>0</c:v>
                </c:pt>
              </c:numCache>
            </c:numRef>
          </c:xVal>
          <c:yVal>
            <c:numRef>
              <c:f>Sheet5!$O$31:$O$139</c:f>
              <c:numCache>
                <c:formatCode>General</c:formatCode>
                <c:ptCount val="109"/>
                <c:pt idx="13">
                  <c:v>0</c:v>
                </c:pt>
                <c:pt idx="14">
                  <c:v>313216.02125835535</c:v>
                </c:pt>
                <c:pt idx="15">
                  <c:v>1928941.656037099</c:v>
                </c:pt>
                <c:pt idx="16">
                  <c:v>2242157.6772954543</c:v>
                </c:pt>
                <c:pt idx="18">
                  <c:v>0</c:v>
                </c:pt>
                <c:pt idx="19">
                  <c:v>7116.034782549692</c:v>
                </c:pt>
                <c:pt idx="20">
                  <c:v>0.15955727311402412</c:v>
                </c:pt>
                <c:pt idx="21">
                  <c:v>98.385875509410468</c:v>
                </c:pt>
                <c:pt idx="22">
                  <c:v>102.70874359585999</c:v>
                </c:pt>
                <c:pt idx="23">
                  <c:v>102.90153606894206</c:v>
                </c:pt>
                <c:pt idx="24">
                  <c:v>0</c:v>
                </c:pt>
                <c:pt idx="25">
                  <c:v>136.8878659269127</c:v>
                </c:pt>
                <c:pt idx="26">
                  <c:v>126.24639075709676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E3-40C6-839A-548FC79C8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5964303"/>
        <c:axId val="1905969295"/>
      </c:scatterChart>
      <c:valAx>
        <c:axId val="19059643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05969295"/>
        <c:crosses val="autoZero"/>
        <c:crossBetween val="midCat"/>
      </c:valAx>
      <c:valAx>
        <c:axId val="190596929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05964303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44562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Sheet5!$D$3:$D$111</c:f>
              <c:numCache>
                <c:formatCode>0.00</c:formatCode>
                <c:ptCount val="109"/>
                <c:pt idx="0">
                  <c:v>44564</c:v>
                </c:pt>
                <c:pt idx="1">
                  <c:v>44564</c:v>
                </c:pt>
                <c:pt idx="2">
                  <c:v>44564</c:v>
                </c:pt>
                <c:pt idx="3">
                  <c:v>44574</c:v>
                </c:pt>
                <c:pt idx="4">
                  <c:v>44574</c:v>
                </c:pt>
                <c:pt idx="5">
                  <c:v>44576</c:v>
                </c:pt>
                <c:pt idx="6">
                  <c:v>44578</c:v>
                </c:pt>
                <c:pt idx="7">
                  <c:v>44579</c:v>
                </c:pt>
                <c:pt idx="8">
                  <c:v>44579</c:v>
                </c:pt>
                <c:pt idx="9">
                  <c:v>44579</c:v>
                </c:pt>
                <c:pt idx="10">
                  <c:v>44579</c:v>
                </c:pt>
                <c:pt idx="11">
                  <c:v>44580</c:v>
                </c:pt>
                <c:pt idx="12">
                  <c:v>44582</c:v>
                </c:pt>
                <c:pt idx="13">
                  <c:v>44582</c:v>
                </c:pt>
                <c:pt idx="14">
                  <c:v>44584</c:v>
                </c:pt>
                <c:pt idx="15">
                  <c:v>44584</c:v>
                </c:pt>
                <c:pt idx="16">
                  <c:v>44584</c:v>
                </c:pt>
                <c:pt idx="17">
                  <c:v>44584</c:v>
                </c:pt>
                <c:pt idx="18">
                  <c:v>44584</c:v>
                </c:pt>
                <c:pt idx="19">
                  <c:v>44584</c:v>
                </c:pt>
                <c:pt idx="20">
                  <c:v>44585</c:v>
                </c:pt>
                <c:pt idx="21">
                  <c:v>44585</c:v>
                </c:pt>
                <c:pt idx="22">
                  <c:v>44586</c:v>
                </c:pt>
                <c:pt idx="23">
                  <c:v>44586</c:v>
                </c:pt>
                <c:pt idx="24">
                  <c:v>44586</c:v>
                </c:pt>
                <c:pt idx="25">
                  <c:v>44587</c:v>
                </c:pt>
                <c:pt idx="26">
                  <c:v>44587</c:v>
                </c:pt>
                <c:pt idx="27">
                  <c:v>44588</c:v>
                </c:pt>
                <c:pt idx="28">
                  <c:v>44588</c:v>
                </c:pt>
                <c:pt idx="29">
                  <c:v>44588</c:v>
                </c:pt>
                <c:pt idx="30">
                  <c:v>44588</c:v>
                </c:pt>
                <c:pt idx="31">
                  <c:v>44589</c:v>
                </c:pt>
                <c:pt idx="32">
                  <c:v>44589</c:v>
                </c:pt>
                <c:pt idx="33">
                  <c:v>44590</c:v>
                </c:pt>
                <c:pt idx="34">
                  <c:v>44590</c:v>
                </c:pt>
                <c:pt idx="35">
                  <c:v>44591</c:v>
                </c:pt>
                <c:pt idx="36">
                  <c:v>44591</c:v>
                </c:pt>
                <c:pt idx="37">
                  <c:v>44591</c:v>
                </c:pt>
                <c:pt idx="38">
                  <c:v>44592</c:v>
                </c:pt>
                <c:pt idx="39">
                  <c:v>44592</c:v>
                </c:pt>
                <c:pt idx="40">
                  <c:v>44592</c:v>
                </c:pt>
                <c:pt idx="41">
                  <c:v>44593</c:v>
                </c:pt>
                <c:pt idx="42">
                  <c:v>44593</c:v>
                </c:pt>
                <c:pt idx="43">
                  <c:v>44594</c:v>
                </c:pt>
                <c:pt idx="44">
                  <c:v>44595</c:v>
                </c:pt>
                <c:pt idx="45">
                  <c:v>44595</c:v>
                </c:pt>
                <c:pt idx="46">
                  <c:v>44605</c:v>
                </c:pt>
                <c:pt idx="47">
                  <c:v>44608</c:v>
                </c:pt>
                <c:pt idx="48">
                  <c:v>44608</c:v>
                </c:pt>
                <c:pt idx="49">
                  <c:v>44609</c:v>
                </c:pt>
                <c:pt idx="50">
                  <c:v>44610</c:v>
                </c:pt>
                <c:pt idx="51">
                  <c:v>44611</c:v>
                </c:pt>
                <c:pt idx="52">
                  <c:v>44611</c:v>
                </c:pt>
                <c:pt idx="53">
                  <c:v>44611</c:v>
                </c:pt>
                <c:pt idx="54">
                  <c:v>44611</c:v>
                </c:pt>
                <c:pt idx="55">
                  <c:v>44611</c:v>
                </c:pt>
                <c:pt idx="56">
                  <c:v>44611</c:v>
                </c:pt>
                <c:pt idx="57">
                  <c:v>44611</c:v>
                </c:pt>
                <c:pt idx="58">
                  <c:v>44612</c:v>
                </c:pt>
                <c:pt idx="59">
                  <c:v>44613</c:v>
                </c:pt>
                <c:pt idx="60">
                  <c:v>44613</c:v>
                </c:pt>
                <c:pt idx="61">
                  <c:v>44613</c:v>
                </c:pt>
                <c:pt idx="62">
                  <c:v>44614</c:v>
                </c:pt>
                <c:pt idx="63">
                  <c:v>44615</c:v>
                </c:pt>
                <c:pt idx="64">
                  <c:v>44615</c:v>
                </c:pt>
                <c:pt idx="65">
                  <c:v>44615</c:v>
                </c:pt>
                <c:pt idx="66">
                  <c:v>44616</c:v>
                </c:pt>
                <c:pt idx="67">
                  <c:v>44616</c:v>
                </c:pt>
                <c:pt idx="68">
                  <c:v>44616</c:v>
                </c:pt>
                <c:pt idx="69">
                  <c:v>44617</c:v>
                </c:pt>
                <c:pt idx="70">
                  <c:v>44618</c:v>
                </c:pt>
                <c:pt idx="71">
                  <c:v>44618</c:v>
                </c:pt>
                <c:pt idx="72">
                  <c:v>44618</c:v>
                </c:pt>
                <c:pt idx="73">
                  <c:v>44618</c:v>
                </c:pt>
                <c:pt idx="74">
                  <c:v>44619</c:v>
                </c:pt>
                <c:pt idx="75">
                  <c:v>44620</c:v>
                </c:pt>
                <c:pt idx="76">
                  <c:v>44621</c:v>
                </c:pt>
                <c:pt idx="77">
                  <c:v>44621</c:v>
                </c:pt>
                <c:pt idx="78">
                  <c:v>44622</c:v>
                </c:pt>
                <c:pt idx="79">
                  <c:v>44622</c:v>
                </c:pt>
                <c:pt idx="80">
                  <c:v>44652</c:v>
                </c:pt>
                <c:pt idx="81">
                  <c:v>44652</c:v>
                </c:pt>
                <c:pt idx="82">
                  <c:v>44652</c:v>
                </c:pt>
                <c:pt idx="83">
                  <c:v>44653</c:v>
                </c:pt>
                <c:pt idx="84">
                  <c:v>44682</c:v>
                </c:pt>
                <c:pt idx="85">
                  <c:v>44682</c:v>
                </c:pt>
                <c:pt idx="86">
                  <c:v>44682</c:v>
                </c:pt>
                <c:pt idx="87">
                  <c:v>44682</c:v>
                </c:pt>
                <c:pt idx="88">
                  <c:v>44682</c:v>
                </c:pt>
                <c:pt idx="89">
                  <c:v>44682</c:v>
                </c:pt>
                <c:pt idx="90">
                  <c:v>44682</c:v>
                </c:pt>
                <c:pt idx="91">
                  <c:v>44682</c:v>
                </c:pt>
                <c:pt idx="92">
                  <c:v>44713</c:v>
                </c:pt>
                <c:pt idx="93">
                  <c:v>44713</c:v>
                </c:pt>
                <c:pt idx="94">
                  <c:v>44713</c:v>
                </c:pt>
                <c:pt idx="95">
                  <c:v>44714</c:v>
                </c:pt>
                <c:pt idx="96">
                  <c:v>44714</c:v>
                </c:pt>
                <c:pt idx="97">
                  <c:v>44743</c:v>
                </c:pt>
                <c:pt idx="98">
                  <c:v>44744</c:v>
                </c:pt>
                <c:pt idx="99">
                  <c:v>44774</c:v>
                </c:pt>
                <c:pt idx="100">
                  <c:v>44835</c:v>
                </c:pt>
                <c:pt idx="101">
                  <c:v>44836</c:v>
                </c:pt>
                <c:pt idx="102">
                  <c:v>44866</c:v>
                </c:pt>
                <c:pt idx="103">
                  <c:v>44867</c:v>
                </c:pt>
                <c:pt idx="104">
                  <c:v>44896</c:v>
                </c:pt>
                <c:pt idx="105">
                  <c:v>44896</c:v>
                </c:pt>
                <c:pt idx="106">
                  <c:v>44897</c:v>
                </c:pt>
                <c:pt idx="107">
                  <c:v>44897</c:v>
                </c:pt>
                <c:pt idx="108">
                  <c:v>44897</c:v>
                </c:pt>
              </c:numCache>
            </c:numRef>
          </c:xVal>
          <c:yVal>
            <c:numRef>
              <c:f>Sheet5!$C$3:$C$111</c:f>
              <c:numCache>
                <c:formatCode>General</c:formatCode>
                <c:ptCount val="109"/>
                <c:pt idx="0">
                  <c:v>78</c:v>
                </c:pt>
                <c:pt idx="1">
                  <c:v>30</c:v>
                </c:pt>
                <c:pt idx="2">
                  <c:v>67</c:v>
                </c:pt>
                <c:pt idx="3">
                  <c:v>66</c:v>
                </c:pt>
                <c:pt idx="4">
                  <c:v>43</c:v>
                </c:pt>
                <c:pt idx="5">
                  <c:v>70</c:v>
                </c:pt>
                <c:pt idx="6">
                  <c:v>100</c:v>
                </c:pt>
                <c:pt idx="7">
                  <c:v>301.14999999999998</c:v>
                </c:pt>
                <c:pt idx="8">
                  <c:v>59</c:v>
                </c:pt>
                <c:pt idx="9">
                  <c:v>148</c:v>
                </c:pt>
                <c:pt idx="10">
                  <c:v>200</c:v>
                </c:pt>
                <c:pt idx="11">
                  <c:v>171</c:v>
                </c:pt>
                <c:pt idx="12">
                  <c:v>188</c:v>
                </c:pt>
                <c:pt idx="13">
                  <c:v>37</c:v>
                </c:pt>
                <c:pt idx="14">
                  <c:v>40</c:v>
                </c:pt>
                <c:pt idx="15">
                  <c:v>465</c:v>
                </c:pt>
                <c:pt idx="16">
                  <c:v>300</c:v>
                </c:pt>
                <c:pt idx="17">
                  <c:v>302</c:v>
                </c:pt>
                <c:pt idx="18">
                  <c:v>176</c:v>
                </c:pt>
                <c:pt idx="19">
                  <c:v>200</c:v>
                </c:pt>
                <c:pt idx="20">
                  <c:v>40</c:v>
                </c:pt>
                <c:pt idx="21">
                  <c:v>133</c:v>
                </c:pt>
                <c:pt idx="22">
                  <c:v>259</c:v>
                </c:pt>
                <c:pt idx="23">
                  <c:v>18</c:v>
                </c:pt>
                <c:pt idx="24">
                  <c:v>325</c:v>
                </c:pt>
                <c:pt idx="25">
                  <c:v>115</c:v>
                </c:pt>
                <c:pt idx="26">
                  <c:v>25</c:v>
                </c:pt>
                <c:pt idx="27">
                  <c:v>43</c:v>
                </c:pt>
                <c:pt idx="28">
                  <c:v>300</c:v>
                </c:pt>
                <c:pt idx="29">
                  <c:v>100</c:v>
                </c:pt>
                <c:pt idx="30">
                  <c:v>279</c:v>
                </c:pt>
                <c:pt idx="31">
                  <c:v>10</c:v>
                </c:pt>
                <c:pt idx="32">
                  <c:v>138</c:v>
                </c:pt>
                <c:pt idx="33">
                  <c:v>44</c:v>
                </c:pt>
                <c:pt idx="34">
                  <c:v>100</c:v>
                </c:pt>
                <c:pt idx="35">
                  <c:v>155</c:v>
                </c:pt>
                <c:pt idx="36">
                  <c:v>120</c:v>
                </c:pt>
                <c:pt idx="37">
                  <c:v>105</c:v>
                </c:pt>
                <c:pt idx="38">
                  <c:v>50</c:v>
                </c:pt>
                <c:pt idx="39">
                  <c:v>200</c:v>
                </c:pt>
                <c:pt idx="40">
                  <c:v>153</c:v>
                </c:pt>
                <c:pt idx="41">
                  <c:v>8</c:v>
                </c:pt>
                <c:pt idx="42">
                  <c:v>200</c:v>
                </c:pt>
                <c:pt idx="43">
                  <c:v>120</c:v>
                </c:pt>
                <c:pt idx="44">
                  <c:v>50</c:v>
                </c:pt>
                <c:pt idx="45">
                  <c:v>300</c:v>
                </c:pt>
                <c:pt idx="46">
                  <c:v>100</c:v>
                </c:pt>
                <c:pt idx="47">
                  <c:v>165</c:v>
                </c:pt>
                <c:pt idx="48">
                  <c:v>475</c:v>
                </c:pt>
                <c:pt idx="49">
                  <c:v>80</c:v>
                </c:pt>
                <c:pt idx="50">
                  <c:v>348</c:v>
                </c:pt>
                <c:pt idx="51">
                  <c:v>111</c:v>
                </c:pt>
                <c:pt idx="52">
                  <c:v>250</c:v>
                </c:pt>
                <c:pt idx="53">
                  <c:v>200</c:v>
                </c:pt>
                <c:pt idx="54">
                  <c:v>380</c:v>
                </c:pt>
                <c:pt idx="55">
                  <c:v>60</c:v>
                </c:pt>
                <c:pt idx="56">
                  <c:v>50</c:v>
                </c:pt>
                <c:pt idx="57">
                  <c:v>270</c:v>
                </c:pt>
                <c:pt idx="58">
                  <c:v>200</c:v>
                </c:pt>
                <c:pt idx="59">
                  <c:v>138</c:v>
                </c:pt>
                <c:pt idx="60">
                  <c:v>336</c:v>
                </c:pt>
                <c:pt idx="61">
                  <c:v>201.8</c:v>
                </c:pt>
                <c:pt idx="62">
                  <c:v>120</c:v>
                </c:pt>
                <c:pt idx="63">
                  <c:v>399</c:v>
                </c:pt>
                <c:pt idx="64">
                  <c:v>83</c:v>
                </c:pt>
                <c:pt idx="65">
                  <c:v>399</c:v>
                </c:pt>
                <c:pt idx="66">
                  <c:v>303</c:v>
                </c:pt>
                <c:pt idx="67">
                  <c:v>289</c:v>
                </c:pt>
                <c:pt idx="68">
                  <c:v>324.7</c:v>
                </c:pt>
                <c:pt idx="69">
                  <c:v>33</c:v>
                </c:pt>
                <c:pt idx="70">
                  <c:v>25</c:v>
                </c:pt>
                <c:pt idx="71">
                  <c:v>100</c:v>
                </c:pt>
                <c:pt idx="72">
                  <c:v>40</c:v>
                </c:pt>
                <c:pt idx="73">
                  <c:v>84</c:v>
                </c:pt>
                <c:pt idx="74">
                  <c:v>243</c:v>
                </c:pt>
                <c:pt idx="75">
                  <c:v>339.15</c:v>
                </c:pt>
                <c:pt idx="76">
                  <c:v>10</c:v>
                </c:pt>
                <c:pt idx="77">
                  <c:v>300</c:v>
                </c:pt>
                <c:pt idx="78">
                  <c:v>50</c:v>
                </c:pt>
                <c:pt idx="79">
                  <c:v>150</c:v>
                </c:pt>
                <c:pt idx="80">
                  <c:v>106</c:v>
                </c:pt>
                <c:pt idx="81">
                  <c:v>80</c:v>
                </c:pt>
                <c:pt idx="82">
                  <c:v>107</c:v>
                </c:pt>
                <c:pt idx="83">
                  <c:v>80</c:v>
                </c:pt>
                <c:pt idx="84">
                  <c:v>211</c:v>
                </c:pt>
                <c:pt idx="85">
                  <c:v>40</c:v>
                </c:pt>
                <c:pt idx="86">
                  <c:v>30</c:v>
                </c:pt>
                <c:pt idx="87">
                  <c:v>354</c:v>
                </c:pt>
                <c:pt idx="88">
                  <c:v>500</c:v>
                </c:pt>
                <c:pt idx="89">
                  <c:v>500</c:v>
                </c:pt>
                <c:pt idx="90">
                  <c:v>60</c:v>
                </c:pt>
                <c:pt idx="91">
                  <c:v>388</c:v>
                </c:pt>
                <c:pt idx="92">
                  <c:v>20</c:v>
                </c:pt>
                <c:pt idx="93">
                  <c:v>10</c:v>
                </c:pt>
                <c:pt idx="94">
                  <c:v>42</c:v>
                </c:pt>
                <c:pt idx="95">
                  <c:v>125</c:v>
                </c:pt>
                <c:pt idx="96">
                  <c:v>150</c:v>
                </c:pt>
                <c:pt idx="97">
                  <c:v>15</c:v>
                </c:pt>
                <c:pt idx="98">
                  <c:v>214</c:v>
                </c:pt>
                <c:pt idx="99">
                  <c:v>535.29999999999995</c:v>
                </c:pt>
                <c:pt idx="100">
                  <c:v>106</c:v>
                </c:pt>
                <c:pt idx="101">
                  <c:v>641</c:v>
                </c:pt>
                <c:pt idx="102">
                  <c:v>135.5</c:v>
                </c:pt>
                <c:pt idx="103">
                  <c:v>373</c:v>
                </c:pt>
                <c:pt idx="104">
                  <c:v>479</c:v>
                </c:pt>
                <c:pt idx="105">
                  <c:v>301.75</c:v>
                </c:pt>
                <c:pt idx="106">
                  <c:v>491</c:v>
                </c:pt>
                <c:pt idx="107">
                  <c:v>70</c:v>
                </c:pt>
                <c:pt idx="108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6F-48A0-9808-7DA9A77B8E8D}"/>
            </c:ext>
          </c:extLst>
        </c:ser>
        <c:ser>
          <c:idx val="1"/>
          <c:order val="1"/>
          <c:tx>
            <c:v>Predicted 85</c:v>
          </c:tx>
          <c:spPr>
            <a:ln w="19050">
              <a:noFill/>
            </a:ln>
          </c:spPr>
          <c:xVal>
            <c:numRef>
              <c:f>Sheet5!$D$3:$D$111</c:f>
              <c:numCache>
                <c:formatCode>0.00</c:formatCode>
                <c:ptCount val="109"/>
                <c:pt idx="0">
                  <c:v>44564</c:v>
                </c:pt>
                <c:pt idx="1">
                  <c:v>44564</c:v>
                </c:pt>
                <c:pt idx="2">
                  <c:v>44564</c:v>
                </c:pt>
                <c:pt idx="3">
                  <c:v>44574</c:v>
                </c:pt>
                <c:pt idx="4">
                  <c:v>44574</c:v>
                </c:pt>
                <c:pt idx="5">
                  <c:v>44576</c:v>
                </c:pt>
                <c:pt idx="6">
                  <c:v>44578</c:v>
                </c:pt>
                <c:pt idx="7">
                  <c:v>44579</c:v>
                </c:pt>
                <c:pt idx="8">
                  <c:v>44579</c:v>
                </c:pt>
                <c:pt idx="9">
                  <c:v>44579</c:v>
                </c:pt>
                <c:pt idx="10">
                  <c:v>44579</c:v>
                </c:pt>
                <c:pt idx="11">
                  <c:v>44580</c:v>
                </c:pt>
                <c:pt idx="12">
                  <c:v>44582</c:v>
                </c:pt>
                <c:pt idx="13">
                  <c:v>44582</c:v>
                </c:pt>
                <c:pt idx="14">
                  <c:v>44584</c:v>
                </c:pt>
                <c:pt idx="15">
                  <c:v>44584</c:v>
                </c:pt>
                <c:pt idx="16">
                  <c:v>44584</c:v>
                </c:pt>
                <c:pt idx="17">
                  <c:v>44584</c:v>
                </c:pt>
                <c:pt idx="18">
                  <c:v>44584</c:v>
                </c:pt>
                <c:pt idx="19">
                  <c:v>44584</c:v>
                </c:pt>
                <c:pt idx="20">
                  <c:v>44585</c:v>
                </c:pt>
                <c:pt idx="21">
                  <c:v>44585</c:v>
                </c:pt>
                <c:pt idx="22">
                  <c:v>44586</c:v>
                </c:pt>
                <c:pt idx="23">
                  <c:v>44586</c:v>
                </c:pt>
                <c:pt idx="24">
                  <c:v>44586</c:v>
                </c:pt>
                <c:pt idx="25">
                  <c:v>44587</c:v>
                </c:pt>
                <c:pt idx="26">
                  <c:v>44587</c:v>
                </c:pt>
                <c:pt idx="27">
                  <c:v>44588</c:v>
                </c:pt>
                <c:pt idx="28">
                  <c:v>44588</c:v>
                </c:pt>
                <c:pt idx="29">
                  <c:v>44588</c:v>
                </c:pt>
                <c:pt idx="30">
                  <c:v>44588</c:v>
                </c:pt>
                <c:pt idx="31">
                  <c:v>44589</c:v>
                </c:pt>
                <c:pt idx="32">
                  <c:v>44589</c:v>
                </c:pt>
                <c:pt idx="33">
                  <c:v>44590</c:v>
                </c:pt>
                <c:pt idx="34">
                  <c:v>44590</c:v>
                </c:pt>
                <c:pt idx="35">
                  <c:v>44591</c:v>
                </c:pt>
                <c:pt idx="36">
                  <c:v>44591</c:v>
                </c:pt>
                <c:pt idx="37">
                  <c:v>44591</c:v>
                </c:pt>
                <c:pt idx="38">
                  <c:v>44592</c:v>
                </c:pt>
                <c:pt idx="39">
                  <c:v>44592</c:v>
                </c:pt>
                <c:pt idx="40">
                  <c:v>44592</c:v>
                </c:pt>
                <c:pt idx="41">
                  <c:v>44593</c:v>
                </c:pt>
                <c:pt idx="42">
                  <c:v>44593</c:v>
                </c:pt>
                <c:pt idx="43">
                  <c:v>44594</c:v>
                </c:pt>
                <c:pt idx="44">
                  <c:v>44595</c:v>
                </c:pt>
                <c:pt idx="45">
                  <c:v>44595</c:v>
                </c:pt>
                <c:pt idx="46">
                  <c:v>44605</c:v>
                </c:pt>
                <c:pt idx="47">
                  <c:v>44608</c:v>
                </c:pt>
                <c:pt idx="48">
                  <c:v>44608</c:v>
                </c:pt>
                <c:pt idx="49">
                  <c:v>44609</c:v>
                </c:pt>
                <c:pt idx="50">
                  <c:v>44610</c:v>
                </c:pt>
                <c:pt idx="51">
                  <c:v>44611</c:v>
                </c:pt>
                <c:pt idx="52">
                  <c:v>44611</c:v>
                </c:pt>
                <c:pt idx="53">
                  <c:v>44611</c:v>
                </c:pt>
                <c:pt idx="54">
                  <c:v>44611</c:v>
                </c:pt>
                <c:pt idx="55">
                  <c:v>44611</c:v>
                </c:pt>
                <c:pt idx="56">
                  <c:v>44611</c:v>
                </c:pt>
                <c:pt idx="57">
                  <c:v>44611</c:v>
                </c:pt>
                <c:pt idx="58">
                  <c:v>44612</c:v>
                </c:pt>
                <c:pt idx="59">
                  <c:v>44613</c:v>
                </c:pt>
                <c:pt idx="60">
                  <c:v>44613</c:v>
                </c:pt>
                <c:pt idx="61">
                  <c:v>44613</c:v>
                </c:pt>
                <c:pt idx="62">
                  <c:v>44614</c:v>
                </c:pt>
                <c:pt idx="63">
                  <c:v>44615</c:v>
                </c:pt>
                <c:pt idx="64">
                  <c:v>44615</c:v>
                </c:pt>
                <c:pt idx="65">
                  <c:v>44615</c:v>
                </c:pt>
                <c:pt idx="66">
                  <c:v>44616</c:v>
                </c:pt>
                <c:pt idx="67">
                  <c:v>44616</c:v>
                </c:pt>
                <c:pt idx="68">
                  <c:v>44616</c:v>
                </c:pt>
                <c:pt idx="69">
                  <c:v>44617</c:v>
                </c:pt>
                <c:pt idx="70">
                  <c:v>44618</c:v>
                </c:pt>
                <c:pt idx="71">
                  <c:v>44618</c:v>
                </c:pt>
                <c:pt idx="72">
                  <c:v>44618</c:v>
                </c:pt>
                <c:pt idx="73">
                  <c:v>44618</c:v>
                </c:pt>
                <c:pt idx="74">
                  <c:v>44619</c:v>
                </c:pt>
                <c:pt idx="75">
                  <c:v>44620</c:v>
                </c:pt>
                <c:pt idx="76">
                  <c:v>44621</c:v>
                </c:pt>
                <c:pt idx="77">
                  <c:v>44621</c:v>
                </c:pt>
                <c:pt idx="78">
                  <c:v>44622</c:v>
                </c:pt>
                <c:pt idx="79">
                  <c:v>44622</c:v>
                </c:pt>
                <c:pt idx="80">
                  <c:v>44652</c:v>
                </c:pt>
                <c:pt idx="81">
                  <c:v>44652</c:v>
                </c:pt>
                <c:pt idx="82">
                  <c:v>44652</c:v>
                </c:pt>
                <c:pt idx="83">
                  <c:v>44653</c:v>
                </c:pt>
                <c:pt idx="84">
                  <c:v>44682</c:v>
                </c:pt>
                <c:pt idx="85">
                  <c:v>44682</c:v>
                </c:pt>
                <c:pt idx="86">
                  <c:v>44682</c:v>
                </c:pt>
                <c:pt idx="87">
                  <c:v>44682</c:v>
                </c:pt>
                <c:pt idx="88">
                  <c:v>44682</c:v>
                </c:pt>
                <c:pt idx="89">
                  <c:v>44682</c:v>
                </c:pt>
                <c:pt idx="90">
                  <c:v>44682</c:v>
                </c:pt>
                <c:pt idx="91">
                  <c:v>44682</c:v>
                </c:pt>
                <c:pt idx="92">
                  <c:v>44713</c:v>
                </c:pt>
                <c:pt idx="93">
                  <c:v>44713</c:v>
                </c:pt>
                <c:pt idx="94">
                  <c:v>44713</c:v>
                </c:pt>
                <c:pt idx="95">
                  <c:v>44714</c:v>
                </c:pt>
                <c:pt idx="96">
                  <c:v>44714</c:v>
                </c:pt>
                <c:pt idx="97">
                  <c:v>44743</c:v>
                </c:pt>
                <c:pt idx="98">
                  <c:v>44744</c:v>
                </c:pt>
                <c:pt idx="99">
                  <c:v>44774</c:v>
                </c:pt>
                <c:pt idx="100">
                  <c:v>44835</c:v>
                </c:pt>
                <c:pt idx="101">
                  <c:v>44836</c:v>
                </c:pt>
                <c:pt idx="102">
                  <c:v>44866</c:v>
                </c:pt>
                <c:pt idx="103">
                  <c:v>44867</c:v>
                </c:pt>
                <c:pt idx="104">
                  <c:v>44896</c:v>
                </c:pt>
                <c:pt idx="105">
                  <c:v>44896</c:v>
                </c:pt>
                <c:pt idx="106">
                  <c:v>44897</c:v>
                </c:pt>
                <c:pt idx="107">
                  <c:v>44897</c:v>
                </c:pt>
                <c:pt idx="108">
                  <c:v>44897</c:v>
                </c:pt>
              </c:numCache>
            </c:numRef>
          </c:xVal>
          <c:yVal>
            <c:numRef>
              <c:f>Sheet5!$N$31:$N$139</c:f>
              <c:numCache>
                <c:formatCode>General</c:formatCode>
                <c:ptCount val="109"/>
                <c:pt idx="6">
                  <c:v>0.37375663314784996</c:v>
                </c:pt>
                <c:pt idx="7">
                  <c:v>0.13969402082201651</c:v>
                </c:pt>
                <c:pt idx="8">
                  <c:v>7.9870371549512612E-2</c:v>
                </c:pt>
                <c:pt idx="9">
                  <c:v>136.84878111829886</c:v>
                </c:pt>
                <c:pt idx="10">
                  <c:v>110</c:v>
                </c:pt>
                <c:pt idx="13">
                  <c:v>0</c:v>
                </c:pt>
                <c:pt idx="14">
                  <c:v>7</c:v>
                </c:pt>
                <c:pt idx="15">
                  <c:v>103</c:v>
                </c:pt>
                <c:pt idx="16">
                  <c:v>110</c:v>
                </c:pt>
                <c:pt idx="18">
                  <c:v>0</c:v>
                </c:pt>
                <c:pt idx="19">
                  <c:v>-20175.8335180131</c:v>
                </c:pt>
                <c:pt idx="20">
                  <c:v>0.4557923851150501</c:v>
                </c:pt>
                <c:pt idx="21">
                  <c:v>5.1260505022893881</c:v>
                </c:pt>
                <c:pt idx="22">
                  <c:v>-36.383491290900707</c:v>
                </c:pt>
                <c:pt idx="23">
                  <c:v>24.982102188428833</c:v>
                </c:pt>
                <c:pt idx="24">
                  <c:v>0</c:v>
                </c:pt>
                <c:pt idx="25">
                  <c:v>239.65625610514138</c:v>
                </c:pt>
                <c:pt idx="26">
                  <c:v>34.297036032698315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16F-48A0-9808-7DA9A77B8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5970543"/>
        <c:axId val="1905964303"/>
      </c:scatterChart>
      <c:valAx>
        <c:axId val="19059705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44562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905964303"/>
        <c:crosses val="autoZero"/>
        <c:crossBetween val="midCat"/>
      </c:valAx>
      <c:valAx>
        <c:axId val="19059643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85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0597054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1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Sheet5!$E$3:$E$111</c:f>
              <c:numCache>
                <c:formatCode>General</c:formatCode>
                <c:ptCount val="109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0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0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0</c:v>
                </c:pt>
                <c:pt idx="105">
                  <c:v>1</c:v>
                </c:pt>
                <c:pt idx="106">
                  <c:v>1</c:v>
                </c:pt>
                <c:pt idx="107">
                  <c:v>0</c:v>
                </c:pt>
                <c:pt idx="108">
                  <c:v>1</c:v>
                </c:pt>
              </c:numCache>
            </c:numRef>
          </c:xVal>
          <c:yVal>
            <c:numRef>
              <c:f>Sheet5!$C$3:$C$111</c:f>
              <c:numCache>
                <c:formatCode>General</c:formatCode>
                <c:ptCount val="109"/>
                <c:pt idx="0">
                  <c:v>78</c:v>
                </c:pt>
                <c:pt idx="1">
                  <c:v>30</c:v>
                </c:pt>
                <c:pt idx="2">
                  <c:v>67</c:v>
                </c:pt>
                <c:pt idx="3">
                  <c:v>66</c:v>
                </c:pt>
                <c:pt idx="4">
                  <c:v>43</c:v>
                </c:pt>
                <c:pt idx="5">
                  <c:v>70</c:v>
                </c:pt>
                <c:pt idx="6">
                  <c:v>100</c:v>
                </c:pt>
                <c:pt idx="7">
                  <c:v>301.14999999999998</c:v>
                </c:pt>
                <c:pt idx="8">
                  <c:v>59</c:v>
                </c:pt>
                <c:pt idx="9">
                  <c:v>148</c:v>
                </c:pt>
                <c:pt idx="10">
                  <c:v>200</c:v>
                </c:pt>
                <c:pt idx="11">
                  <c:v>171</c:v>
                </c:pt>
                <c:pt idx="12">
                  <c:v>188</c:v>
                </c:pt>
                <c:pt idx="13">
                  <c:v>37</c:v>
                </c:pt>
                <c:pt idx="14">
                  <c:v>40</c:v>
                </c:pt>
                <c:pt idx="15">
                  <c:v>465</c:v>
                </c:pt>
                <c:pt idx="16">
                  <c:v>300</c:v>
                </c:pt>
                <c:pt idx="17">
                  <c:v>302</c:v>
                </c:pt>
                <c:pt idx="18">
                  <c:v>176</c:v>
                </c:pt>
                <c:pt idx="19">
                  <c:v>200</c:v>
                </c:pt>
                <c:pt idx="20">
                  <c:v>40</c:v>
                </c:pt>
                <c:pt idx="21">
                  <c:v>133</c:v>
                </c:pt>
                <c:pt idx="22">
                  <c:v>259</c:v>
                </c:pt>
                <c:pt idx="23">
                  <c:v>18</c:v>
                </c:pt>
                <c:pt idx="24">
                  <c:v>325</c:v>
                </c:pt>
                <c:pt idx="25">
                  <c:v>115</c:v>
                </c:pt>
                <c:pt idx="26">
                  <c:v>25</c:v>
                </c:pt>
                <c:pt idx="27">
                  <c:v>43</c:v>
                </c:pt>
                <c:pt idx="28">
                  <c:v>300</c:v>
                </c:pt>
                <c:pt idx="29">
                  <c:v>100</c:v>
                </c:pt>
                <c:pt idx="30">
                  <c:v>279</c:v>
                </c:pt>
                <c:pt idx="31">
                  <c:v>10</c:v>
                </c:pt>
                <c:pt idx="32">
                  <c:v>138</c:v>
                </c:pt>
                <c:pt idx="33">
                  <c:v>44</c:v>
                </c:pt>
                <c:pt idx="34">
                  <c:v>100</c:v>
                </c:pt>
                <c:pt idx="35">
                  <c:v>155</c:v>
                </c:pt>
                <c:pt idx="36">
                  <c:v>120</c:v>
                </c:pt>
                <c:pt idx="37">
                  <c:v>105</c:v>
                </c:pt>
                <c:pt idx="38">
                  <c:v>50</c:v>
                </c:pt>
                <c:pt idx="39">
                  <c:v>200</c:v>
                </c:pt>
                <c:pt idx="40">
                  <c:v>153</c:v>
                </c:pt>
                <c:pt idx="41">
                  <c:v>8</c:v>
                </c:pt>
                <c:pt idx="42">
                  <c:v>200</c:v>
                </c:pt>
                <c:pt idx="43">
                  <c:v>120</c:v>
                </c:pt>
                <c:pt idx="44">
                  <c:v>50</c:v>
                </c:pt>
                <c:pt idx="45">
                  <c:v>300</c:v>
                </c:pt>
                <c:pt idx="46">
                  <c:v>100</c:v>
                </c:pt>
                <c:pt idx="47">
                  <c:v>165</c:v>
                </c:pt>
                <c:pt idx="48">
                  <c:v>475</c:v>
                </c:pt>
                <c:pt idx="49">
                  <c:v>80</c:v>
                </c:pt>
                <c:pt idx="50">
                  <c:v>348</c:v>
                </c:pt>
                <c:pt idx="51">
                  <c:v>111</c:v>
                </c:pt>
                <c:pt idx="52">
                  <c:v>250</c:v>
                </c:pt>
                <c:pt idx="53">
                  <c:v>200</c:v>
                </c:pt>
                <c:pt idx="54">
                  <c:v>380</c:v>
                </c:pt>
                <c:pt idx="55">
                  <c:v>60</c:v>
                </c:pt>
                <c:pt idx="56">
                  <c:v>50</c:v>
                </c:pt>
                <c:pt idx="57">
                  <c:v>270</c:v>
                </c:pt>
                <c:pt idx="58">
                  <c:v>200</c:v>
                </c:pt>
                <c:pt idx="59">
                  <c:v>138</c:v>
                </c:pt>
                <c:pt idx="60">
                  <c:v>336</c:v>
                </c:pt>
                <c:pt idx="61">
                  <c:v>201.8</c:v>
                </c:pt>
                <c:pt idx="62">
                  <c:v>120</c:v>
                </c:pt>
                <c:pt idx="63">
                  <c:v>399</c:v>
                </c:pt>
                <c:pt idx="64">
                  <c:v>83</c:v>
                </c:pt>
                <c:pt idx="65">
                  <c:v>399</c:v>
                </c:pt>
                <c:pt idx="66">
                  <c:v>303</c:v>
                </c:pt>
                <c:pt idx="67">
                  <c:v>289</c:v>
                </c:pt>
                <c:pt idx="68">
                  <c:v>324.7</c:v>
                </c:pt>
                <c:pt idx="69">
                  <c:v>33</c:v>
                </c:pt>
                <c:pt idx="70">
                  <c:v>25</c:v>
                </c:pt>
                <c:pt idx="71">
                  <c:v>100</c:v>
                </c:pt>
                <c:pt idx="72">
                  <c:v>40</c:v>
                </c:pt>
                <c:pt idx="73">
                  <c:v>84</c:v>
                </c:pt>
                <c:pt idx="74">
                  <c:v>243</c:v>
                </c:pt>
                <c:pt idx="75">
                  <c:v>339.15</c:v>
                </c:pt>
                <c:pt idx="76">
                  <c:v>10</c:v>
                </c:pt>
                <c:pt idx="77">
                  <c:v>300</c:v>
                </c:pt>
                <c:pt idx="78">
                  <c:v>50</c:v>
                </c:pt>
                <c:pt idx="79">
                  <c:v>150</c:v>
                </c:pt>
                <c:pt idx="80">
                  <c:v>106</c:v>
                </c:pt>
                <c:pt idx="81">
                  <c:v>80</c:v>
                </c:pt>
                <c:pt idx="82">
                  <c:v>107</c:v>
                </c:pt>
                <c:pt idx="83">
                  <c:v>80</c:v>
                </c:pt>
                <c:pt idx="84">
                  <c:v>211</c:v>
                </c:pt>
                <c:pt idx="85">
                  <c:v>40</c:v>
                </c:pt>
                <c:pt idx="86">
                  <c:v>30</c:v>
                </c:pt>
                <c:pt idx="87">
                  <c:v>354</c:v>
                </c:pt>
                <c:pt idx="88">
                  <c:v>500</c:v>
                </c:pt>
                <c:pt idx="89">
                  <c:v>500</c:v>
                </c:pt>
                <c:pt idx="90">
                  <c:v>60</c:v>
                </c:pt>
                <c:pt idx="91">
                  <c:v>388</c:v>
                </c:pt>
                <c:pt idx="92">
                  <c:v>20</c:v>
                </c:pt>
                <c:pt idx="93">
                  <c:v>10</c:v>
                </c:pt>
                <c:pt idx="94">
                  <c:v>42</c:v>
                </c:pt>
                <c:pt idx="95">
                  <c:v>125</c:v>
                </c:pt>
                <c:pt idx="96">
                  <c:v>150</c:v>
                </c:pt>
                <c:pt idx="97">
                  <c:v>15</c:v>
                </c:pt>
                <c:pt idx="98">
                  <c:v>214</c:v>
                </c:pt>
                <c:pt idx="99">
                  <c:v>535.29999999999995</c:v>
                </c:pt>
                <c:pt idx="100">
                  <c:v>106</c:v>
                </c:pt>
                <c:pt idx="101">
                  <c:v>641</c:v>
                </c:pt>
                <c:pt idx="102">
                  <c:v>135.5</c:v>
                </c:pt>
                <c:pt idx="103">
                  <c:v>373</c:v>
                </c:pt>
                <c:pt idx="104">
                  <c:v>479</c:v>
                </c:pt>
                <c:pt idx="105">
                  <c:v>301.75</c:v>
                </c:pt>
                <c:pt idx="106">
                  <c:v>491</c:v>
                </c:pt>
                <c:pt idx="107">
                  <c:v>70</c:v>
                </c:pt>
                <c:pt idx="108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8E-4959-B35E-30AFA0132989}"/>
            </c:ext>
          </c:extLst>
        </c:ser>
        <c:ser>
          <c:idx val="1"/>
          <c:order val="1"/>
          <c:tx>
            <c:v>Predicted 85</c:v>
          </c:tx>
          <c:spPr>
            <a:ln w="19050">
              <a:noFill/>
            </a:ln>
          </c:spPr>
          <c:xVal>
            <c:numRef>
              <c:f>Sheet5!$E$3:$E$111</c:f>
              <c:numCache>
                <c:formatCode>General</c:formatCode>
                <c:ptCount val="109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0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0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0</c:v>
                </c:pt>
                <c:pt idx="105">
                  <c:v>1</c:v>
                </c:pt>
                <c:pt idx="106">
                  <c:v>1</c:v>
                </c:pt>
                <c:pt idx="107">
                  <c:v>0</c:v>
                </c:pt>
                <c:pt idx="108">
                  <c:v>1</c:v>
                </c:pt>
              </c:numCache>
            </c:numRef>
          </c:xVal>
          <c:yVal>
            <c:numRef>
              <c:f>Sheet5!$N$31:$N$139</c:f>
              <c:numCache>
                <c:formatCode>General</c:formatCode>
                <c:ptCount val="109"/>
                <c:pt idx="6">
                  <c:v>0.37375663314784996</c:v>
                </c:pt>
                <c:pt idx="7">
                  <c:v>0.13969402082201651</c:v>
                </c:pt>
                <c:pt idx="8">
                  <c:v>7.9870371549512612E-2</c:v>
                </c:pt>
                <c:pt idx="9">
                  <c:v>136.84878111829886</c:v>
                </c:pt>
                <c:pt idx="10">
                  <c:v>110</c:v>
                </c:pt>
                <c:pt idx="13">
                  <c:v>0</c:v>
                </c:pt>
                <c:pt idx="14">
                  <c:v>7</c:v>
                </c:pt>
                <c:pt idx="15">
                  <c:v>103</c:v>
                </c:pt>
                <c:pt idx="16">
                  <c:v>110</c:v>
                </c:pt>
                <c:pt idx="18">
                  <c:v>0</c:v>
                </c:pt>
                <c:pt idx="19">
                  <c:v>-20175.8335180131</c:v>
                </c:pt>
                <c:pt idx="20">
                  <c:v>0.4557923851150501</c:v>
                </c:pt>
                <c:pt idx="21">
                  <c:v>5.1260505022893881</c:v>
                </c:pt>
                <c:pt idx="22">
                  <c:v>-36.383491290900707</c:v>
                </c:pt>
                <c:pt idx="23">
                  <c:v>24.982102188428833</c:v>
                </c:pt>
                <c:pt idx="24">
                  <c:v>0</c:v>
                </c:pt>
                <c:pt idx="25">
                  <c:v>239.65625610514138</c:v>
                </c:pt>
                <c:pt idx="26">
                  <c:v>34.297036032698315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8E-4959-B35E-30AFA0132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197375"/>
        <c:axId val="1787191967"/>
      </c:scatterChart>
      <c:valAx>
        <c:axId val="17871973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87191967"/>
        <c:crosses val="autoZero"/>
        <c:crossBetween val="midCat"/>
      </c:valAx>
      <c:valAx>
        <c:axId val="178719196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85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8719737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0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Sheet5!$F$3:$F$111</c:f>
              <c:numCache>
                <c:formatCode>General</c:formatCode>
                <c:ptCount val="109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1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</c:numCache>
            </c:numRef>
          </c:xVal>
          <c:yVal>
            <c:numRef>
              <c:f>Sheet5!$C$3:$C$111</c:f>
              <c:numCache>
                <c:formatCode>General</c:formatCode>
                <c:ptCount val="109"/>
                <c:pt idx="0">
                  <c:v>78</c:v>
                </c:pt>
                <c:pt idx="1">
                  <c:v>30</c:v>
                </c:pt>
                <c:pt idx="2">
                  <c:v>67</c:v>
                </c:pt>
                <c:pt idx="3">
                  <c:v>66</c:v>
                </c:pt>
                <c:pt idx="4">
                  <c:v>43</c:v>
                </c:pt>
                <c:pt idx="5">
                  <c:v>70</c:v>
                </c:pt>
                <c:pt idx="6">
                  <c:v>100</c:v>
                </c:pt>
                <c:pt idx="7">
                  <c:v>301.14999999999998</c:v>
                </c:pt>
                <c:pt idx="8">
                  <c:v>59</c:v>
                </c:pt>
                <c:pt idx="9">
                  <c:v>148</c:v>
                </c:pt>
                <c:pt idx="10">
                  <c:v>200</c:v>
                </c:pt>
                <c:pt idx="11">
                  <c:v>171</c:v>
                </c:pt>
                <c:pt idx="12">
                  <c:v>188</c:v>
                </c:pt>
                <c:pt idx="13">
                  <c:v>37</c:v>
                </c:pt>
                <c:pt idx="14">
                  <c:v>40</c:v>
                </c:pt>
                <c:pt idx="15">
                  <c:v>465</c:v>
                </c:pt>
                <c:pt idx="16">
                  <c:v>300</c:v>
                </c:pt>
                <c:pt idx="17">
                  <c:v>302</c:v>
                </c:pt>
                <c:pt idx="18">
                  <c:v>176</c:v>
                </c:pt>
                <c:pt idx="19">
                  <c:v>200</c:v>
                </c:pt>
                <c:pt idx="20">
                  <c:v>40</c:v>
                </c:pt>
                <c:pt idx="21">
                  <c:v>133</c:v>
                </c:pt>
                <c:pt idx="22">
                  <c:v>259</c:v>
                </c:pt>
                <c:pt idx="23">
                  <c:v>18</c:v>
                </c:pt>
                <c:pt idx="24">
                  <c:v>325</c:v>
                </c:pt>
                <c:pt idx="25">
                  <c:v>115</c:v>
                </c:pt>
                <c:pt idx="26">
                  <c:v>25</c:v>
                </c:pt>
                <c:pt idx="27">
                  <c:v>43</c:v>
                </c:pt>
                <c:pt idx="28">
                  <c:v>300</c:v>
                </c:pt>
                <c:pt idx="29">
                  <c:v>100</c:v>
                </c:pt>
                <c:pt idx="30">
                  <c:v>279</c:v>
                </c:pt>
                <c:pt idx="31">
                  <c:v>10</c:v>
                </c:pt>
                <c:pt idx="32">
                  <c:v>138</c:v>
                </c:pt>
                <c:pt idx="33">
                  <c:v>44</c:v>
                </c:pt>
                <c:pt idx="34">
                  <c:v>100</c:v>
                </c:pt>
                <c:pt idx="35">
                  <c:v>155</c:v>
                </c:pt>
                <c:pt idx="36">
                  <c:v>120</c:v>
                </c:pt>
                <c:pt idx="37">
                  <c:v>105</c:v>
                </c:pt>
                <c:pt idx="38">
                  <c:v>50</c:v>
                </c:pt>
                <c:pt idx="39">
                  <c:v>200</c:v>
                </c:pt>
                <c:pt idx="40">
                  <c:v>153</c:v>
                </c:pt>
                <c:pt idx="41">
                  <c:v>8</c:v>
                </c:pt>
                <c:pt idx="42">
                  <c:v>200</c:v>
                </c:pt>
                <c:pt idx="43">
                  <c:v>120</c:v>
                </c:pt>
                <c:pt idx="44">
                  <c:v>50</c:v>
                </c:pt>
                <c:pt idx="45">
                  <c:v>300</c:v>
                </c:pt>
                <c:pt idx="46">
                  <c:v>100</c:v>
                </c:pt>
                <c:pt idx="47">
                  <c:v>165</c:v>
                </c:pt>
                <c:pt idx="48">
                  <c:v>475</c:v>
                </c:pt>
                <c:pt idx="49">
                  <c:v>80</c:v>
                </c:pt>
                <c:pt idx="50">
                  <c:v>348</c:v>
                </c:pt>
                <c:pt idx="51">
                  <c:v>111</c:v>
                </c:pt>
                <c:pt idx="52">
                  <c:v>250</c:v>
                </c:pt>
                <c:pt idx="53">
                  <c:v>200</c:v>
                </c:pt>
                <c:pt idx="54">
                  <c:v>380</c:v>
                </c:pt>
                <c:pt idx="55">
                  <c:v>60</c:v>
                </c:pt>
                <c:pt idx="56">
                  <c:v>50</c:v>
                </c:pt>
                <c:pt idx="57">
                  <c:v>270</c:v>
                </c:pt>
                <c:pt idx="58">
                  <c:v>200</c:v>
                </c:pt>
                <c:pt idx="59">
                  <c:v>138</c:v>
                </c:pt>
                <c:pt idx="60">
                  <c:v>336</c:v>
                </c:pt>
                <c:pt idx="61">
                  <c:v>201.8</c:v>
                </c:pt>
                <c:pt idx="62">
                  <c:v>120</c:v>
                </c:pt>
                <c:pt idx="63">
                  <c:v>399</c:v>
                </c:pt>
                <c:pt idx="64">
                  <c:v>83</c:v>
                </c:pt>
                <c:pt idx="65">
                  <c:v>399</c:v>
                </c:pt>
                <c:pt idx="66">
                  <c:v>303</c:v>
                </c:pt>
                <c:pt idx="67">
                  <c:v>289</c:v>
                </c:pt>
                <c:pt idx="68">
                  <c:v>324.7</c:v>
                </c:pt>
                <c:pt idx="69">
                  <c:v>33</c:v>
                </c:pt>
                <c:pt idx="70">
                  <c:v>25</c:v>
                </c:pt>
                <c:pt idx="71">
                  <c:v>100</c:v>
                </c:pt>
                <c:pt idx="72">
                  <c:v>40</c:v>
                </c:pt>
                <c:pt idx="73">
                  <c:v>84</c:v>
                </c:pt>
                <c:pt idx="74">
                  <c:v>243</c:v>
                </c:pt>
                <c:pt idx="75">
                  <c:v>339.15</c:v>
                </c:pt>
                <c:pt idx="76">
                  <c:v>10</c:v>
                </c:pt>
                <c:pt idx="77">
                  <c:v>300</c:v>
                </c:pt>
                <c:pt idx="78">
                  <c:v>50</c:v>
                </c:pt>
                <c:pt idx="79">
                  <c:v>150</c:v>
                </c:pt>
                <c:pt idx="80">
                  <c:v>106</c:v>
                </c:pt>
                <c:pt idx="81">
                  <c:v>80</c:v>
                </c:pt>
                <c:pt idx="82">
                  <c:v>107</c:v>
                </c:pt>
                <c:pt idx="83">
                  <c:v>80</c:v>
                </c:pt>
                <c:pt idx="84">
                  <c:v>211</c:v>
                </c:pt>
                <c:pt idx="85">
                  <c:v>40</c:v>
                </c:pt>
                <c:pt idx="86">
                  <c:v>30</c:v>
                </c:pt>
                <c:pt idx="87">
                  <c:v>354</c:v>
                </c:pt>
                <c:pt idx="88">
                  <c:v>500</c:v>
                </c:pt>
                <c:pt idx="89">
                  <c:v>500</c:v>
                </c:pt>
                <c:pt idx="90">
                  <c:v>60</c:v>
                </c:pt>
                <c:pt idx="91">
                  <c:v>388</c:v>
                </c:pt>
                <c:pt idx="92">
                  <c:v>20</c:v>
                </c:pt>
                <c:pt idx="93">
                  <c:v>10</c:v>
                </c:pt>
                <c:pt idx="94">
                  <c:v>42</c:v>
                </c:pt>
                <c:pt idx="95">
                  <c:v>125</c:v>
                </c:pt>
                <c:pt idx="96">
                  <c:v>150</c:v>
                </c:pt>
                <c:pt idx="97">
                  <c:v>15</c:v>
                </c:pt>
                <c:pt idx="98">
                  <c:v>214</c:v>
                </c:pt>
                <c:pt idx="99">
                  <c:v>535.29999999999995</c:v>
                </c:pt>
                <c:pt idx="100">
                  <c:v>106</c:v>
                </c:pt>
                <c:pt idx="101">
                  <c:v>641</c:v>
                </c:pt>
                <c:pt idx="102">
                  <c:v>135.5</c:v>
                </c:pt>
                <c:pt idx="103">
                  <c:v>373</c:v>
                </c:pt>
                <c:pt idx="104">
                  <c:v>479</c:v>
                </c:pt>
                <c:pt idx="105">
                  <c:v>301.75</c:v>
                </c:pt>
                <c:pt idx="106">
                  <c:v>491</c:v>
                </c:pt>
                <c:pt idx="107">
                  <c:v>70</c:v>
                </c:pt>
                <c:pt idx="108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D0-4EBA-A8BC-7EC040091B2A}"/>
            </c:ext>
          </c:extLst>
        </c:ser>
        <c:ser>
          <c:idx val="1"/>
          <c:order val="1"/>
          <c:tx>
            <c:v>Predicted 85</c:v>
          </c:tx>
          <c:spPr>
            <a:ln w="19050">
              <a:noFill/>
            </a:ln>
          </c:spPr>
          <c:xVal>
            <c:numRef>
              <c:f>Sheet5!$F$3:$F$111</c:f>
              <c:numCache>
                <c:formatCode>General</c:formatCode>
                <c:ptCount val="109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1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</c:numCache>
            </c:numRef>
          </c:xVal>
          <c:yVal>
            <c:numRef>
              <c:f>Sheet5!$N$31:$N$139</c:f>
              <c:numCache>
                <c:formatCode>General</c:formatCode>
                <c:ptCount val="109"/>
                <c:pt idx="6">
                  <c:v>0.37375663314784996</c:v>
                </c:pt>
                <c:pt idx="7">
                  <c:v>0.13969402082201651</c:v>
                </c:pt>
                <c:pt idx="8">
                  <c:v>7.9870371549512612E-2</c:v>
                </c:pt>
                <c:pt idx="9">
                  <c:v>136.84878111829886</c:v>
                </c:pt>
                <c:pt idx="10">
                  <c:v>110</c:v>
                </c:pt>
                <c:pt idx="13">
                  <c:v>0</c:v>
                </c:pt>
                <c:pt idx="14">
                  <c:v>7</c:v>
                </c:pt>
                <c:pt idx="15">
                  <c:v>103</c:v>
                </c:pt>
                <c:pt idx="16">
                  <c:v>110</c:v>
                </c:pt>
                <c:pt idx="18">
                  <c:v>0</c:v>
                </c:pt>
                <c:pt idx="19">
                  <c:v>-20175.8335180131</c:v>
                </c:pt>
                <c:pt idx="20">
                  <c:v>0.4557923851150501</c:v>
                </c:pt>
                <c:pt idx="21">
                  <c:v>5.1260505022893881</c:v>
                </c:pt>
                <c:pt idx="22">
                  <c:v>-36.383491290900707</c:v>
                </c:pt>
                <c:pt idx="23">
                  <c:v>24.982102188428833</c:v>
                </c:pt>
                <c:pt idx="24">
                  <c:v>0</c:v>
                </c:pt>
                <c:pt idx="25">
                  <c:v>239.65625610514138</c:v>
                </c:pt>
                <c:pt idx="26">
                  <c:v>34.297036032698315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D0-4EBA-A8BC-7EC040091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6707407"/>
        <c:axId val="1776700335"/>
      </c:scatterChart>
      <c:valAx>
        <c:axId val="17767074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76700335"/>
        <c:crosses val="autoZero"/>
        <c:crossBetween val="midCat"/>
      </c:valAx>
      <c:valAx>
        <c:axId val="177670033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85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7670740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0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Sheet5!$G$3:$G$111</c:f>
              <c:numCache>
                <c:formatCode>General</c:formatCode>
                <c:ptCount val="1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0</c:v>
                </c:pt>
                <c:pt idx="81">
                  <c:v>1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1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</c:numCache>
            </c:numRef>
          </c:xVal>
          <c:yVal>
            <c:numRef>
              <c:f>Sheet5!$C$3:$C$111</c:f>
              <c:numCache>
                <c:formatCode>General</c:formatCode>
                <c:ptCount val="109"/>
                <c:pt idx="0">
                  <c:v>78</c:v>
                </c:pt>
                <c:pt idx="1">
                  <c:v>30</c:v>
                </c:pt>
                <c:pt idx="2">
                  <c:v>67</c:v>
                </c:pt>
                <c:pt idx="3">
                  <c:v>66</c:v>
                </c:pt>
                <c:pt idx="4">
                  <c:v>43</c:v>
                </c:pt>
                <c:pt idx="5">
                  <c:v>70</c:v>
                </c:pt>
                <c:pt idx="6">
                  <c:v>100</c:v>
                </c:pt>
                <c:pt idx="7">
                  <c:v>301.14999999999998</c:v>
                </c:pt>
                <c:pt idx="8">
                  <c:v>59</c:v>
                </c:pt>
                <c:pt idx="9">
                  <c:v>148</c:v>
                </c:pt>
                <c:pt idx="10">
                  <c:v>200</c:v>
                </c:pt>
                <c:pt idx="11">
                  <c:v>171</c:v>
                </c:pt>
                <c:pt idx="12">
                  <c:v>188</c:v>
                </c:pt>
                <c:pt idx="13">
                  <c:v>37</c:v>
                </c:pt>
                <c:pt idx="14">
                  <c:v>40</c:v>
                </c:pt>
                <c:pt idx="15">
                  <c:v>465</c:v>
                </c:pt>
                <c:pt idx="16">
                  <c:v>300</c:v>
                </c:pt>
                <c:pt idx="17">
                  <c:v>302</c:v>
                </c:pt>
                <c:pt idx="18">
                  <c:v>176</c:v>
                </c:pt>
                <c:pt idx="19">
                  <c:v>200</c:v>
                </c:pt>
                <c:pt idx="20">
                  <c:v>40</c:v>
                </c:pt>
                <c:pt idx="21">
                  <c:v>133</c:v>
                </c:pt>
                <c:pt idx="22">
                  <c:v>259</c:v>
                </c:pt>
                <c:pt idx="23">
                  <c:v>18</c:v>
                </c:pt>
                <c:pt idx="24">
                  <c:v>325</c:v>
                </c:pt>
                <c:pt idx="25">
                  <c:v>115</c:v>
                </c:pt>
                <c:pt idx="26">
                  <c:v>25</c:v>
                </c:pt>
                <c:pt idx="27">
                  <c:v>43</c:v>
                </c:pt>
                <c:pt idx="28">
                  <c:v>300</c:v>
                </c:pt>
                <c:pt idx="29">
                  <c:v>100</c:v>
                </c:pt>
                <c:pt idx="30">
                  <c:v>279</c:v>
                </c:pt>
                <c:pt idx="31">
                  <c:v>10</c:v>
                </c:pt>
                <c:pt idx="32">
                  <c:v>138</c:v>
                </c:pt>
                <c:pt idx="33">
                  <c:v>44</c:v>
                </c:pt>
                <c:pt idx="34">
                  <c:v>100</c:v>
                </c:pt>
                <c:pt idx="35">
                  <c:v>155</c:v>
                </c:pt>
                <c:pt idx="36">
                  <c:v>120</c:v>
                </c:pt>
                <c:pt idx="37">
                  <c:v>105</c:v>
                </c:pt>
                <c:pt idx="38">
                  <c:v>50</c:v>
                </c:pt>
                <c:pt idx="39">
                  <c:v>200</c:v>
                </c:pt>
                <c:pt idx="40">
                  <c:v>153</c:v>
                </c:pt>
                <c:pt idx="41">
                  <c:v>8</c:v>
                </c:pt>
                <c:pt idx="42">
                  <c:v>200</c:v>
                </c:pt>
                <c:pt idx="43">
                  <c:v>120</c:v>
                </c:pt>
                <c:pt idx="44">
                  <c:v>50</c:v>
                </c:pt>
                <c:pt idx="45">
                  <c:v>300</c:v>
                </c:pt>
                <c:pt idx="46">
                  <c:v>100</c:v>
                </c:pt>
                <c:pt idx="47">
                  <c:v>165</c:v>
                </c:pt>
                <c:pt idx="48">
                  <c:v>475</c:v>
                </c:pt>
                <c:pt idx="49">
                  <c:v>80</c:v>
                </c:pt>
                <c:pt idx="50">
                  <c:v>348</c:v>
                </c:pt>
                <c:pt idx="51">
                  <c:v>111</c:v>
                </c:pt>
                <c:pt idx="52">
                  <c:v>250</c:v>
                </c:pt>
                <c:pt idx="53">
                  <c:v>200</c:v>
                </c:pt>
                <c:pt idx="54">
                  <c:v>380</c:v>
                </c:pt>
                <c:pt idx="55">
                  <c:v>60</c:v>
                </c:pt>
                <c:pt idx="56">
                  <c:v>50</c:v>
                </c:pt>
                <c:pt idx="57">
                  <c:v>270</c:v>
                </c:pt>
                <c:pt idx="58">
                  <c:v>200</c:v>
                </c:pt>
                <c:pt idx="59">
                  <c:v>138</c:v>
                </c:pt>
                <c:pt idx="60">
                  <c:v>336</c:v>
                </c:pt>
                <c:pt idx="61">
                  <c:v>201.8</c:v>
                </c:pt>
                <c:pt idx="62">
                  <c:v>120</c:v>
                </c:pt>
                <c:pt idx="63">
                  <c:v>399</c:v>
                </c:pt>
                <c:pt idx="64">
                  <c:v>83</c:v>
                </c:pt>
                <c:pt idx="65">
                  <c:v>399</c:v>
                </c:pt>
                <c:pt idx="66">
                  <c:v>303</c:v>
                </c:pt>
                <c:pt idx="67">
                  <c:v>289</c:v>
                </c:pt>
                <c:pt idx="68">
                  <c:v>324.7</c:v>
                </c:pt>
                <c:pt idx="69">
                  <c:v>33</c:v>
                </c:pt>
                <c:pt idx="70">
                  <c:v>25</c:v>
                </c:pt>
                <c:pt idx="71">
                  <c:v>100</c:v>
                </c:pt>
                <c:pt idx="72">
                  <c:v>40</c:v>
                </c:pt>
                <c:pt idx="73">
                  <c:v>84</c:v>
                </c:pt>
                <c:pt idx="74">
                  <c:v>243</c:v>
                </c:pt>
                <c:pt idx="75">
                  <c:v>339.15</c:v>
                </c:pt>
                <c:pt idx="76">
                  <c:v>10</c:v>
                </c:pt>
                <c:pt idx="77">
                  <c:v>300</c:v>
                </c:pt>
                <c:pt idx="78">
                  <c:v>50</c:v>
                </c:pt>
                <c:pt idx="79">
                  <c:v>150</c:v>
                </c:pt>
                <c:pt idx="80">
                  <c:v>106</c:v>
                </c:pt>
                <c:pt idx="81">
                  <c:v>80</c:v>
                </c:pt>
                <c:pt idx="82">
                  <c:v>107</c:v>
                </c:pt>
                <c:pt idx="83">
                  <c:v>80</c:v>
                </c:pt>
                <c:pt idx="84">
                  <c:v>211</c:v>
                </c:pt>
                <c:pt idx="85">
                  <c:v>40</c:v>
                </c:pt>
                <c:pt idx="86">
                  <c:v>30</c:v>
                </c:pt>
                <c:pt idx="87">
                  <c:v>354</c:v>
                </c:pt>
                <c:pt idx="88">
                  <c:v>500</c:v>
                </c:pt>
                <c:pt idx="89">
                  <c:v>500</c:v>
                </c:pt>
                <c:pt idx="90">
                  <c:v>60</c:v>
                </c:pt>
                <c:pt idx="91">
                  <c:v>388</c:v>
                </c:pt>
                <c:pt idx="92">
                  <c:v>20</c:v>
                </c:pt>
                <c:pt idx="93">
                  <c:v>10</c:v>
                </c:pt>
                <c:pt idx="94">
                  <c:v>42</c:v>
                </c:pt>
                <c:pt idx="95">
                  <c:v>125</c:v>
                </c:pt>
                <c:pt idx="96">
                  <c:v>150</c:v>
                </c:pt>
                <c:pt idx="97">
                  <c:v>15</c:v>
                </c:pt>
                <c:pt idx="98">
                  <c:v>214</c:v>
                </c:pt>
                <c:pt idx="99">
                  <c:v>535.29999999999995</c:v>
                </c:pt>
                <c:pt idx="100">
                  <c:v>106</c:v>
                </c:pt>
                <c:pt idx="101">
                  <c:v>641</c:v>
                </c:pt>
                <c:pt idx="102">
                  <c:v>135.5</c:v>
                </c:pt>
                <c:pt idx="103">
                  <c:v>373</c:v>
                </c:pt>
                <c:pt idx="104">
                  <c:v>479</c:v>
                </c:pt>
                <c:pt idx="105">
                  <c:v>301.75</c:v>
                </c:pt>
                <c:pt idx="106">
                  <c:v>491</c:v>
                </c:pt>
                <c:pt idx="107">
                  <c:v>70</c:v>
                </c:pt>
                <c:pt idx="108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A0-4E9F-BD69-C042E3A98B9B}"/>
            </c:ext>
          </c:extLst>
        </c:ser>
        <c:ser>
          <c:idx val="1"/>
          <c:order val="1"/>
          <c:tx>
            <c:v>Predicted 85</c:v>
          </c:tx>
          <c:spPr>
            <a:ln w="19050">
              <a:noFill/>
            </a:ln>
          </c:spPr>
          <c:xVal>
            <c:numRef>
              <c:f>Sheet5!$G$3:$G$111</c:f>
              <c:numCache>
                <c:formatCode>General</c:formatCode>
                <c:ptCount val="1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0</c:v>
                </c:pt>
                <c:pt idx="81">
                  <c:v>1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1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</c:numCache>
            </c:numRef>
          </c:xVal>
          <c:yVal>
            <c:numRef>
              <c:f>Sheet5!$N$31:$N$139</c:f>
              <c:numCache>
                <c:formatCode>General</c:formatCode>
                <c:ptCount val="109"/>
                <c:pt idx="6">
                  <c:v>0.37375663314784996</c:v>
                </c:pt>
                <c:pt idx="7">
                  <c:v>0.13969402082201651</c:v>
                </c:pt>
                <c:pt idx="8">
                  <c:v>7.9870371549512612E-2</c:v>
                </c:pt>
                <c:pt idx="9">
                  <c:v>136.84878111829886</c:v>
                </c:pt>
                <c:pt idx="10">
                  <c:v>110</c:v>
                </c:pt>
                <c:pt idx="13">
                  <c:v>0</c:v>
                </c:pt>
                <c:pt idx="14">
                  <c:v>7</c:v>
                </c:pt>
                <c:pt idx="15">
                  <c:v>103</c:v>
                </c:pt>
                <c:pt idx="16">
                  <c:v>110</c:v>
                </c:pt>
                <c:pt idx="18">
                  <c:v>0</c:v>
                </c:pt>
                <c:pt idx="19">
                  <c:v>-20175.8335180131</c:v>
                </c:pt>
                <c:pt idx="20">
                  <c:v>0.4557923851150501</c:v>
                </c:pt>
                <c:pt idx="21">
                  <c:v>5.1260505022893881</c:v>
                </c:pt>
                <c:pt idx="22">
                  <c:v>-36.383491290900707</c:v>
                </c:pt>
                <c:pt idx="23">
                  <c:v>24.982102188428833</c:v>
                </c:pt>
                <c:pt idx="24">
                  <c:v>0</c:v>
                </c:pt>
                <c:pt idx="25">
                  <c:v>239.65625610514138</c:v>
                </c:pt>
                <c:pt idx="26">
                  <c:v>34.297036032698315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BA0-4E9F-BD69-C042E3A98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6702831"/>
        <c:axId val="1905977199"/>
      </c:scatterChart>
      <c:valAx>
        <c:axId val="17767028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05977199"/>
        <c:crosses val="autoZero"/>
        <c:crossBetween val="midCat"/>
      </c:valAx>
      <c:valAx>
        <c:axId val="19059771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85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7670283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0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Sheet5!$H$3:$H$111</c:f>
              <c:numCache>
                <c:formatCode>General</c:formatCode>
                <c:ptCount val="1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</c:numCache>
            </c:numRef>
          </c:xVal>
          <c:yVal>
            <c:numRef>
              <c:f>Sheet5!$C$3:$C$111</c:f>
              <c:numCache>
                <c:formatCode>General</c:formatCode>
                <c:ptCount val="109"/>
                <c:pt idx="0">
                  <c:v>78</c:v>
                </c:pt>
                <c:pt idx="1">
                  <c:v>30</c:v>
                </c:pt>
                <c:pt idx="2">
                  <c:v>67</c:v>
                </c:pt>
                <c:pt idx="3">
                  <c:v>66</c:v>
                </c:pt>
                <c:pt idx="4">
                  <c:v>43</c:v>
                </c:pt>
                <c:pt idx="5">
                  <c:v>70</c:v>
                </c:pt>
                <c:pt idx="6">
                  <c:v>100</c:v>
                </c:pt>
                <c:pt idx="7">
                  <c:v>301.14999999999998</c:v>
                </c:pt>
                <c:pt idx="8">
                  <c:v>59</c:v>
                </c:pt>
                <c:pt idx="9">
                  <c:v>148</c:v>
                </c:pt>
                <c:pt idx="10">
                  <c:v>200</c:v>
                </c:pt>
                <c:pt idx="11">
                  <c:v>171</c:v>
                </c:pt>
                <c:pt idx="12">
                  <c:v>188</c:v>
                </c:pt>
                <c:pt idx="13">
                  <c:v>37</c:v>
                </c:pt>
                <c:pt idx="14">
                  <c:v>40</c:v>
                </c:pt>
                <c:pt idx="15">
                  <c:v>465</c:v>
                </c:pt>
                <c:pt idx="16">
                  <c:v>300</c:v>
                </c:pt>
                <c:pt idx="17">
                  <c:v>302</c:v>
                </c:pt>
                <c:pt idx="18">
                  <c:v>176</c:v>
                </c:pt>
                <c:pt idx="19">
                  <c:v>200</c:v>
                </c:pt>
                <c:pt idx="20">
                  <c:v>40</c:v>
                </c:pt>
                <c:pt idx="21">
                  <c:v>133</c:v>
                </c:pt>
                <c:pt idx="22">
                  <c:v>259</c:v>
                </c:pt>
                <c:pt idx="23">
                  <c:v>18</c:v>
                </c:pt>
                <c:pt idx="24">
                  <c:v>325</c:v>
                </c:pt>
                <c:pt idx="25">
                  <c:v>115</c:v>
                </c:pt>
                <c:pt idx="26">
                  <c:v>25</c:v>
                </c:pt>
                <c:pt idx="27">
                  <c:v>43</c:v>
                </c:pt>
                <c:pt idx="28">
                  <c:v>300</c:v>
                </c:pt>
                <c:pt idx="29">
                  <c:v>100</c:v>
                </c:pt>
                <c:pt idx="30">
                  <c:v>279</c:v>
                </c:pt>
                <c:pt idx="31">
                  <c:v>10</c:v>
                </c:pt>
                <c:pt idx="32">
                  <c:v>138</c:v>
                </c:pt>
                <c:pt idx="33">
                  <c:v>44</c:v>
                </c:pt>
                <c:pt idx="34">
                  <c:v>100</c:v>
                </c:pt>
                <c:pt idx="35">
                  <c:v>155</c:v>
                </c:pt>
                <c:pt idx="36">
                  <c:v>120</c:v>
                </c:pt>
                <c:pt idx="37">
                  <c:v>105</c:v>
                </c:pt>
                <c:pt idx="38">
                  <c:v>50</c:v>
                </c:pt>
                <c:pt idx="39">
                  <c:v>200</c:v>
                </c:pt>
                <c:pt idx="40">
                  <c:v>153</c:v>
                </c:pt>
                <c:pt idx="41">
                  <c:v>8</c:v>
                </c:pt>
                <c:pt idx="42">
                  <c:v>200</c:v>
                </c:pt>
                <c:pt idx="43">
                  <c:v>120</c:v>
                </c:pt>
                <c:pt idx="44">
                  <c:v>50</c:v>
                </c:pt>
                <c:pt idx="45">
                  <c:v>300</c:v>
                </c:pt>
                <c:pt idx="46">
                  <c:v>100</c:v>
                </c:pt>
                <c:pt idx="47">
                  <c:v>165</c:v>
                </c:pt>
                <c:pt idx="48">
                  <c:v>475</c:v>
                </c:pt>
                <c:pt idx="49">
                  <c:v>80</c:v>
                </c:pt>
                <c:pt idx="50">
                  <c:v>348</c:v>
                </c:pt>
                <c:pt idx="51">
                  <c:v>111</c:v>
                </c:pt>
                <c:pt idx="52">
                  <c:v>250</c:v>
                </c:pt>
                <c:pt idx="53">
                  <c:v>200</c:v>
                </c:pt>
                <c:pt idx="54">
                  <c:v>380</c:v>
                </c:pt>
                <c:pt idx="55">
                  <c:v>60</c:v>
                </c:pt>
                <c:pt idx="56">
                  <c:v>50</c:v>
                </c:pt>
                <c:pt idx="57">
                  <c:v>270</c:v>
                </c:pt>
                <c:pt idx="58">
                  <c:v>200</c:v>
                </c:pt>
                <c:pt idx="59">
                  <c:v>138</c:v>
                </c:pt>
                <c:pt idx="60">
                  <c:v>336</c:v>
                </c:pt>
                <c:pt idx="61">
                  <c:v>201.8</c:v>
                </c:pt>
                <c:pt idx="62">
                  <c:v>120</c:v>
                </c:pt>
                <c:pt idx="63">
                  <c:v>399</c:v>
                </c:pt>
                <c:pt idx="64">
                  <c:v>83</c:v>
                </c:pt>
                <c:pt idx="65">
                  <c:v>399</c:v>
                </c:pt>
                <c:pt idx="66">
                  <c:v>303</c:v>
                </c:pt>
                <c:pt idx="67">
                  <c:v>289</c:v>
                </c:pt>
                <c:pt idx="68">
                  <c:v>324.7</c:v>
                </c:pt>
                <c:pt idx="69">
                  <c:v>33</c:v>
                </c:pt>
                <c:pt idx="70">
                  <c:v>25</c:v>
                </c:pt>
                <c:pt idx="71">
                  <c:v>100</c:v>
                </c:pt>
                <c:pt idx="72">
                  <c:v>40</c:v>
                </c:pt>
                <c:pt idx="73">
                  <c:v>84</c:v>
                </c:pt>
                <c:pt idx="74">
                  <c:v>243</c:v>
                </c:pt>
                <c:pt idx="75">
                  <c:v>339.15</c:v>
                </c:pt>
                <c:pt idx="76">
                  <c:v>10</c:v>
                </c:pt>
                <c:pt idx="77">
                  <c:v>300</c:v>
                </c:pt>
                <c:pt idx="78">
                  <c:v>50</c:v>
                </c:pt>
                <c:pt idx="79">
                  <c:v>150</c:v>
                </c:pt>
                <c:pt idx="80">
                  <c:v>106</c:v>
                </c:pt>
                <c:pt idx="81">
                  <c:v>80</c:v>
                </c:pt>
                <c:pt idx="82">
                  <c:v>107</c:v>
                </c:pt>
                <c:pt idx="83">
                  <c:v>80</c:v>
                </c:pt>
                <c:pt idx="84">
                  <c:v>211</c:v>
                </c:pt>
                <c:pt idx="85">
                  <c:v>40</c:v>
                </c:pt>
                <c:pt idx="86">
                  <c:v>30</c:v>
                </c:pt>
                <c:pt idx="87">
                  <c:v>354</c:v>
                </c:pt>
                <c:pt idx="88">
                  <c:v>500</c:v>
                </c:pt>
                <c:pt idx="89">
                  <c:v>500</c:v>
                </c:pt>
                <c:pt idx="90">
                  <c:v>60</c:v>
                </c:pt>
                <c:pt idx="91">
                  <c:v>388</c:v>
                </c:pt>
                <c:pt idx="92">
                  <c:v>20</c:v>
                </c:pt>
                <c:pt idx="93">
                  <c:v>10</c:v>
                </c:pt>
                <c:pt idx="94">
                  <c:v>42</c:v>
                </c:pt>
                <c:pt idx="95">
                  <c:v>125</c:v>
                </c:pt>
                <c:pt idx="96">
                  <c:v>150</c:v>
                </c:pt>
                <c:pt idx="97">
                  <c:v>15</c:v>
                </c:pt>
                <c:pt idx="98">
                  <c:v>214</c:v>
                </c:pt>
                <c:pt idx="99">
                  <c:v>535.29999999999995</c:v>
                </c:pt>
                <c:pt idx="100">
                  <c:v>106</c:v>
                </c:pt>
                <c:pt idx="101">
                  <c:v>641</c:v>
                </c:pt>
                <c:pt idx="102">
                  <c:v>135.5</c:v>
                </c:pt>
                <c:pt idx="103">
                  <c:v>373</c:v>
                </c:pt>
                <c:pt idx="104">
                  <c:v>479</c:v>
                </c:pt>
                <c:pt idx="105">
                  <c:v>301.75</c:v>
                </c:pt>
                <c:pt idx="106">
                  <c:v>491</c:v>
                </c:pt>
                <c:pt idx="107">
                  <c:v>70</c:v>
                </c:pt>
                <c:pt idx="108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47-41DE-9912-5F88EC80EDF1}"/>
            </c:ext>
          </c:extLst>
        </c:ser>
        <c:ser>
          <c:idx val="1"/>
          <c:order val="1"/>
          <c:tx>
            <c:v>Predicted 85</c:v>
          </c:tx>
          <c:spPr>
            <a:ln w="19050">
              <a:noFill/>
            </a:ln>
          </c:spPr>
          <c:xVal>
            <c:numRef>
              <c:f>Sheet5!$H$3:$H$111</c:f>
              <c:numCache>
                <c:formatCode>General</c:formatCode>
                <c:ptCount val="1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</c:numCache>
            </c:numRef>
          </c:xVal>
          <c:yVal>
            <c:numRef>
              <c:f>Sheet5!$N$31:$N$139</c:f>
              <c:numCache>
                <c:formatCode>General</c:formatCode>
                <c:ptCount val="109"/>
                <c:pt idx="6">
                  <c:v>0.37375663314784996</c:v>
                </c:pt>
                <c:pt idx="7">
                  <c:v>0.13969402082201651</c:v>
                </c:pt>
                <c:pt idx="8">
                  <c:v>7.9870371549512612E-2</c:v>
                </c:pt>
                <c:pt idx="9">
                  <c:v>136.84878111829886</c:v>
                </c:pt>
                <c:pt idx="10">
                  <c:v>110</c:v>
                </c:pt>
                <c:pt idx="13">
                  <c:v>0</c:v>
                </c:pt>
                <c:pt idx="14">
                  <c:v>7</c:v>
                </c:pt>
                <c:pt idx="15">
                  <c:v>103</c:v>
                </c:pt>
                <c:pt idx="16">
                  <c:v>110</c:v>
                </c:pt>
                <c:pt idx="18">
                  <c:v>0</c:v>
                </c:pt>
                <c:pt idx="19">
                  <c:v>-20175.8335180131</c:v>
                </c:pt>
                <c:pt idx="20">
                  <c:v>0.4557923851150501</c:v>
                </c:pt>
                <c:pt idx="21">
                  <c:v>5.1260505022893881</c:v>
                </c:pt>
                <c:pt idx="22">
                  <c:v>-36.383491290900707</c:v>
                </c:pt>
                <c:pt idx="23">
                  <c:v>24.982102188428833</c:v>
                </c:pt>
                <c:pt idx="24">
                  <c:v>0</c:v>
                </c:pt>
                <c:pt idx="25">
                  <c:v>239.65625610514138</c:v>
                </c:pt>
                <c:pt idx="26">
                  <c:v>34.297036032698315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447-41DE-9912-5F88EC80E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6702831"/>
        <c:axId val="1783849503"/>
      </c:scatterChart>
      <c:valAx>
        <c:axId val="17767028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83849503"/>
        <c:crosses val="autoZero"/>
        <c:crossBetween val="midCat"/>
      </c:valAx>
      <c:valAx>
        <c:axId val="17838495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85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7670283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0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Sheet5!$I$3:$I$111</c:f>
              <c:numCache>
                <c:formatCode>General</c:formatCode>
                <c:ptCount val="1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</c:numCache>
            </c:numRef>
          </c:xVal>
          <c:yVal>
            <c:numRef>
              <c:f>Sheet5!$C$3:$C$111</c:f>
              <c:numCache>
                <c:formatCode>General</c:formatCode>
                <c:ptCount val="109"/>
                <c:pt idx="0">
                  <c:v>78</c:v>
                </c:pt>
                <c:pt idx="1">
                  <c:v>30</c:v>
                </c:pt>
                <c:pt idx="2">
                  <c:v>67</c:v>
                </c:pt>
                <c:pt idx="3">
                  <c:v>66</c:v>
                </c:pt>
                <c:pt idx="4">
                  <c:v>43</c:v>
                </c:pt>
                <c:pt idx="5">
                  <c:v>70</c:v>
                </c:pt>
                <c:pt idx="6">
                  <c:v>100</c:v>
                </c:pt>
                <c:pt idx="7">
                  <c:v>301.14999999999998</c:v>
                </c:pt>
                <c:pt idx="8">
                  <c:v>59</c:v>
                </c:pt>
                <c:pt idx="9">
                  <c:v>148</c:v>
                </c:pt>
                <c:pt idx="10">
                  <c:v>200</c:v>
                </c:pt>
                <c:pt idx="11">
                  <c:v>171</c:v>
                </c:pt>
                <c:pt idx="12">
                  <c:v>188</c:v>
                </c:pt>
                <c:pt idx="13">
                  <c:v>37</c:v>
                </c:pt>
                <c:pt idx="14">
                  <c:v>40</c:v>
                </c:pt>
                <c:pt idx="15">
                  <c:v>465</c:v>
                </c:pt>
                <c:pt idx="16">
                  <c:v>300</c:v>
                </c:pt>
                <c:pt idx="17">
                  <c:v>302</c:v>
                </c:pt>
                <c:pt idx="18">
                  <c:v>176</c:v>
                </c:pt>
                <c:pt idx="19">
                  <c:v>200</c:v>
                </c:pt>
                <c:pt idx="20">
                  <c:v>40</c:v>
                </c:pt>
                <c:pt idx="21">
                  <c:v>133</c:v>
                </c:pt>
                <c:pt idx="22">
                  <c:v>259</c:v>
                </c:pt>
                <c:pt idx="23">
                  <c:v>18</c:v>
                </c:pt>
                <c:pt idx="24">
                  <c:v>325</c:v>
                </c:pt>
                <c:pt idx="25">
                  <c:v>115</c:v>
                </c:pt>
                <c:pt idx="26">
                  <c:v>25</c:v>
                </c:pt>
                <c:pt idx="27">
                  <c:v>43</c:v>
                </c:pt>
                <c:pt idx="28">
                  <c:v>300</c:v>
                </c:pt>
                <c:pt idx="29">
                  <c:v>100</c:v>
                </c:pt>
                <c:pt idx="30">
                  <c:v>279</c:v>
                </c:pt>
                <c:pt idx="31">
                  <c:v>10</c:v>
                </c:pt>
                <c:pt idx="32">
                  <c:v>138</c:v>
                </c:pt>
                <c:pt idx="33">
                  <c:v>44</c:v>
                </c:pt>
                <c:pt idx="34">
                  <c:v>100</c:v>
                </c:pt>
                <c:pt idx="35">
                  <c:v>155</c:v>
                </c:pt>
                <c:pt idx="36">
                  <c:v>120</c:v>
                </c:pt>
                <c:pt idx="37">
                  <c:v>105</c:v>
                </c:pt>
                <c:pt idx="38">
                  <c:v>50</c:v>
                </c:pt>
                <c:pt idx="39">
                  <c:v>200</c:v>
                </c:pt>
                <c:pt idx="40">
                  <c:v>153</c:v>
                </c:pt>
                <c:pt idx="41">
                  <c:v>8</c:v>
                </c:pt>
                <c:pt idx="42">
                  <c:v>200</c:v>
                </c:pt>
                <c:pt idx="43">
                  <c:v>120</c:v>
                </c:pt>
                <c:pt idx="44">
                  <c:v>50</c:v>
                </c:pt>
                <c:pt idx="45">
                  <c:v>300</c:v>
                </c:pt>
                <c:pt idx="46">
                  <c:v>100</c:v>
                </c:pt>
                <c:pt idx="47">
                  <c:v>165</c:v>
                </c:pt>
                <c:pt idx="48">
                  <c:v>475</c:v>
                </c:pt>
                <c:pt idx="49">
                  <c:v>80</c:v>
                </c:pt>
                <c:pt idx="50">
                  <c:v>348</c:v>
                </c:pt>
                <c:pt idx="51">
                  <c:v>111</c:v>
                </c:pt>
                <c:pt idx="52">
                  <c:v>250</c:v>
                </c:pt>
                <c:pt idx="53">
                  <c:v>200</c:v>
                </c:pt>
                <c:pt idx="54">
                  <c:v>380</c:v>
                </c:pt>
                <c:pt idx="55">
                  <c:v>60</c:v>
                </c:pt>
                <c:pt idx="56">
                  <c:v>50</c:v>
                </c:pt>
                <c:pt idx="57">
                  <c:v>270</c:v>
                </c:pt>
                <c:pt idx="58">
                  <c:v>200</c:v>
                </c:pt>
                <c:pt idx="59">
                  <c:v>138</c:v>
                </c:pt>
                <c:pt idx="60">
                  <c:v>336</c:v>
                </c:pt>
                <c:pt idx="61">
                  <c:v>201.8</c:v>
                </c:pt>
                <c:pt idx="62">
                  <c:v>120</c:v>
                </c:pt>
                <c:pt idx="63">
                  <c:v>399</c:v>
                </c:pt>
                <c:pt idx="64">
                  <c:v>83</c:v>
                </c:pt>
                <c:pt idx="65">
                  <c:v>399</c:v>
                </c:pt>
                <c:pt idx="66">
                  <c:v>303</c:v>
                </c:pt>
                <c:pt idx="67">
                  <c:v>289</c:v>
                </c:pt>
                <c:pt idx="68">
                  <c:v>324.7</c:v>
                </c:pt>
                <c:pt idx="69">
                  <c:v>33</c:v>
                </c:pt>
                <c:pt idx="70">
                  <c:v>25</c:v>
                </c:pt>
                <c:pt idx="71">
                  <c:v>100</c:v>
                </c:pt>
                <c:pt idx="72">
                  <c:v>40</c:v>
                </c:pt>
                <c:pt idx="73">
                  <c:v>84</c:v>
                </c:pt>
                <c:pt idx="74">
                  <c:v>243</c:v>
                </c:pt>
                <c:pt idx="75">
                  <c:v>339.15</c:v>
                </c:pt>
                <c:pt idx="76">
                  <c:v>10</c:v>
                </c:pt>
                <c:pt idx="77">
                  <c:v>300</c:v>
                </c:pt>
                <c:pt idx="78">
                  <c:v>50</c:v>
                </c:pt>
                <c:pt idx="79">
                  <c:v>150</c:v>
                </c:pt>
                <c:pt idx="80">
                  <c:v>106</c:v>
                </c:pt>
                <c:pt idx="81">
                  <c:v>80</c:v>
                </c:pt>
                <c:pt idx="82">
                  <c:v>107</c:v>
                </c:pt>
                <c:pt idx="83">
                  <c:v>80</c:v>
                </c:pt>
                <c:pt idx="84">
                  <c:v>211</c:v>
                </c:pt>
                <c:pt idx="85">
                  <c:v>40</c:v>
                </c:pt>
                <c:pt idx="86">
                  <c:v>30</c:v>
                </c:pt>
                <c:pt idx="87">
                  <c:v>354</c:v>
                </c:pt>
                <c:pt idx="88">
                  <c:v>500</c:v>
                </c:pt>
                <c:pt idx="89">
                  <c:v>500</c:v>
                </c:pt>
                <c:pt idx="90">
                  <c:v>60</c:v>
                </c:pt>
                <c:pt idx="91">
                  <c:v>388</c:v>
                </c:pt>
                <c:pt idx="92">
                  <c:v>20</c:v>
                </c:pt>
                <c:pt idx="93">
                  <c:v>10</c:v>
                </c:pt>
                <c:pt idx="94">
                  <c:v>42</c:v>
                </c:pt>
                <c:pt idx="95">
                  <c:v>125</c:v>
                </c:pt>
                <c:pt idx="96">
                  <c:v>150</c:v>
                </c:pt>
                <c:pt idx="97">
                  <c:v>15</c:v>
                </c:pt>
                <c:pt idx="98">
                  <c:v>214</c:v>
                </c:pt>
                <c:pt idx="99">
                  <c:v>535.29999999999995</c:v>
                </c:pt>
                <c:pt idx="100">
                  <c:v>106</c:v>
                </c:pt>
                <c:pt idx="101">
                  <c:v>641</c:v>
                </c:pt>
                <c:pt idx="102">
                  <c:v>135.5</c:v>
                </c:pt>
                <c:pt idx="103">
                  <c:v>373</c:v>
                </c:pt>
                <c:pt idx="104">
                  <c:v>479</c:v>
                </c:pt>
                <c:pt idx="105">
                  <c:v>301.75</c:v>
                </c:pt>
                <c:pt idx="106">
                  <c:v>491</c:v>
                </c:pt>
                <c:pt idx="107">
                  <c:v>70</c:v>
                </c:pt>
                <c:pt idx="108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13-4342-B91B-429B31BE637D}"/>
            </c:ext>
          </c:extLst>
        </c:ser>
        <c:ser>
          <c:idx val="1"/>
          <c:order val="1"/>
          <c:tx>
            <c:v>Predicted 85</c:v>
          </c:tx>
          <c:spPr>
            <a:ln w="19050">
              <a:noFill/>
            </a:ln>
          </c:spPr>
          <c:xVal>
            <c:numRef>
              <c:f>Sheet5!$I$3:$I$111</c:f>
              <c:numCache>
                <c:formatCode>General</c:formatCode>
                <c:ptCount val="1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</c:numCache>
            </c:numRef>
          </c:xVal>
          <c:yVal>
            <c:numRef>
              <c:f>Sheet5!$N$31:$N$139</c:f>
              <c:numCache>
                <c:formatCode>General</c:formatCode>
                <c:ptCount val="109"/>
                <c:pt idx="6">
                  <c:v>0.37375663314784996</c:v>
                </c:pt>
                <c:pt idx="7">
                  <c:v>0.13969402082201651</c:v>
                </c:pt>
                <c:pt idx="8">
                  <c:v>7.9870371549512612E-2</c:v>
                </c:pt>
                <c:pt idx="9">
                  <c:v>136.84878111829886</c:v>
                </c:pt>
                <c:pt idx="10">
                  <c:v>110</c:v>
                </c:pt>
                <c:pt idx="13">
                  <c:v>0</c:v>
                </c:pt>
                <c:pt idx="14">
                  <c:v>7</c:v>
                </c:pt>
                <c:pt idx="15">
                  <c:v>103</c:v>
                </c:pt>
                <c:pt idx="16">
                  <c:v>110</c:v>
                </c:pt>
                <c:pt idx="18">
                  <c:v>0</c:v>
                </c:pt>
                <c:pt idx="19">
                  <c:v>-20175.8335180131</c:v>
                </c:pt>
                <c:pt idx="20">
                  <c:v>0.4557923851150501</c:v>
                </c:pt>
                <c:pt idx="21">
                  <c:v>5.1260505022893881</c:v>
                </c:pt>
                <c:pt idx="22">
                  <c:v>-36.383491290900707</c:v>
                </c:pt>
                <c:pt idx="23">
                  <c:v>24.982102188428833</c:v>
                </c:pt>
                <c:pt idx="24">
                  <c:v>0</c:v>
                </c:pt>
                <c:pt idx="25">
                  <c:v>239.65625610514138</c:v>
                </c:pt>
                <c:pt idx="26">
                  <c:v>34.297036032698315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313-4342-B91B-429B31BE6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6707407"/>
        <c:axId val="1639628895"/>
      </c:scatterChart>
      <c:valAx>
        <c:axId val="17767074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39628895"/>
        <c:crosses val="autoZero"/>
        <c:crossBetween val="midCat"/>
      </c:valAx>
      <c:valAx>
        <c:axId val="163962889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85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7670740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0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Sheet5!$J$3:$J$111</c:f>
              <c:numCache>
                <c:formatCode>General</c:formatCode>
                <c:ptCount val="1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</c:v>
                </c:pt>
                <c:pt idx="108">
                  <c:v>0</c:v>
                </c:pt>
              </c:numCache>
            </c:numRef>
          </c:xVal>
          <c:yVal>
            <c:numRef>
              <c:f>Sheet5!$C$3:$C$111</c:f>
              <c:numCache>
                <c:formatCode>General</c:formatCode>
                <c:ptCount val="109"/>
                <c:pt idx="0">
                  <c:v>78</c:v>
                </c:pt>
                <c:pt idx="1">
                  <c:v>30</c:v>
                </c:pt>
                <c:pt idx="2">
                  <c:v>67</c:v>
                </c:pt>
                <c:pt idx="3">
                  <c:v>66</c:v>
                </c:pt>
                <c:pt idx="4">
                  <c:v>43</c:v>
                </c:pt>
                <c:pt idx="5">
                  <c:v>70</c:v>
                </c:pt>
                <c:pt idx="6">
                  <c:v>100</c:v>
                </c:pt>
                <c:pt idx="7">
                  <c:v>301.14999999999998</c:v>
                </c:pt>
                <c:pt idx="8">
                  <c:v>59</c:v>
                </c:pt>
                <c:pt idx="9">
                  <c:v>148</c:v>
                </c:pt>
                <c:pt idx="10">
                  <c:v>200</c:v>
                </c:pt>
                <c:pt idx="11">
                  <c:v>171</c:v>
                </c:pt>
                <c:pt idx="12">
                  <c:v>188</c:v>
                </c:pt>
                <c:pt idx="13">
                  <c:v>37</c:v>
                </c:pt>
                <c:pt idx="14">
                  <c:v>40</c:v>
                </c:pt>
                <c:pt idx="15">
                  <c:v>465</c:v>
                </c:pt>
                <c:pt idx="16">
                  <c:v>300</c:v>
                </c:pt>
                <c:pt idx="17">
                  <c:v>302</c:v>
                </c:pt>
                <c:pt idx="18">
                  <c:v>176</c:v>
                </c:pt>
                <c:pt idx="19">
                  <c:v>200</c:v>
                </c:pt>
                <c:pt idx="20">
                  <c:v>40</c:v>
                </c:pt>
                <c:pt idx="21">
                  <c:v>133</c:v>
                </c:pt>
                <c:pt idx="22">
                  <c:v>259</c:v>
                </c:pt>
                <c:pt idx="23">
                  <c:v>18</c:v>
                </c:pt>
                <c:pt idx="24">
                  <c:v>325</c:v>
                </c:pt>
                <c:pt idx="25">
                  <c:v>115</c:v>
                </c:pt>
                <c:pt idx="26">
                  <c:v>25</c:v>
                </c:pt>
                <c:pt idx="27">
                  <c:v>43</c:v>
                </c:pt>
                <c:pt idx="28">
                  <c:v>300</c:v>
                </c:pt>
                <c:pt idx="29">
                  <c:v>100</c:v>
                </c:pt>
                <c:pt idx="30">
                  <c:v>279</c:v>
                </c:pt>
                <c:pt idx="31">
                  <c:v>10</c:v>
                </c:pt>
                <c:pt idx="32">
                  <c:v>138</c:v>
                </c:pt>
                <c:pt idx="33">
                  <c:v>44</c:v>
                </c:pt>
                <c:pt idx="34">
                  <c:v>100</c:v>
                </c:pt>
                <c:pt idx="35">
                  <c:v>155</c:v>
                </c:pt>
                <c:pt idx="36">
                  <c:v>120</c:v>
                </c:pt>
                <c:pt idx="37">
                  <c:v>105</c:v>
                </c:pt>
                <c:pt idx="38">
                  <c:v>50</c:v>
                </c:pt>
                <c:pt idx="39">
                  <c:v>200</c:v>
                </c:pt>
                <c:pt idx="40">
                  <c:v>153</c:v>
                </c:pt>
                <c:pt idx="41">
                  <c:v>8</c:v>
                </c:pt>
                <c:pt idx="42">
                  <c:v>200</c:v>
                </c:pt>
                <c:pt idx="43">
                  <c:v>120</c:v>
                </c:pt>
                <c:pt idx="44">
                  <c:v>50</c:v>
                </c:pt>
                <c:pt idx="45">
                  <c:v>300</c:v>
                </c:pt>
                <c:pt idx="46">
                  <c:v>100</c:v>
                </c:pt>
                <c:pt idx="47">
                  <c:v>165</c:v>
                </c:pt>
                <c:pt idx="48">
                  <c:v>475</c:v>
                </c:pt>
                <c:pt idx="49">
                  <c:v>80</c:v>
                </c:pt>
                <c:pt idx="50">
                  <c:v>348</c:v>
                </c:pt>
                <c:pt idx="51">
                  <c:v>111</c:v>
                </c:pt>
                <c:pt idx="52">
                  <c:v>250</c:v>
                </c:pt>
                <c:pt idx="53">
                  <c:v>200</c:v>
                </c:pt>
                <c:pt idx="54">
                  <c:v>380</c:v>
                </c:pt>
                <c:pt idx="55">
                  <c:v>60</c:v>
                </c:pt>
                <c:pt idx="56">
                  <c:v>50</c:v>
                </c:pt>
                <c:pt idx="57">
                  <c:v>270</c:v>
                </c:pt>
                <c:pt idx="58">
                  <c:v>200</c:v>
                </c:pt>
                <c:pt idx="59">
                  <c:v>138</c:v>
                </c:pt>
                <c:pt idx="60">
                  <c:v>336</c:v>
                </c:pt>
                <c:pt idx="61">
                  <c:v>201.8</c:v>
                </c:pt>
                <c:pt idx="62">
                  <c:v>120</c:v>
                </c:pt>
                <c:pt idx="63">
                  <c:v>399</c:v>
                </c:pt>
                <c:pt idx="64">
                  <c:v>83</c:v>
                </c:pt>
                <c:pt idx="65">
                  <c:v>399</c:v>
                </c:pt>
                <c:pt idx="66">
                  <c:v>303</c:v>
                </c:pt>
                <c:pt idx="67">
                  <c:v>289</c:v>
                </c:pt>
                <c:pt idx="68">
                  <c:v>324.7</c:v>
                </c:pt>
                <c:pt idx="69">
                  <c:v>33</c:v>
                </c:pt>
                <c:pt idx="70">
                  <c:v>25</c:v>
                </c:pt>
                <c:pt idx="71">
                  <c:v>100</c:v>
                </c:pt>
                <c:pt idx="72">
                  <c:v>40</c:v>
                </c:pt>
                <c:pt idx="73">
                  <c:v>84</c:v>
                </c:pt>
                <c:pt idx="74">
                  <c:v>243</c:v>
                </c:pt>
                <c:pt idx="75">
                  <c:v>339.15</c:v>
                </c:pt>
                <c:pt idx="76">
                  <c:v>10</c:v>
                </c:pt>
                <c:pt idx="77">
                  <c:v>300</c:v>
                </c:pt>
                <c:pt idx="78">
                  <c:v>50</c:v>
                </c:pt>
                <c:pt idx="79">
                  <c:v>150</c:v>
                </c:pt>
                <c:pt idx="80">
                  <c:v>106</c:v>
                </c:pt>
                <c:pt idx="81">
                  <c:v>80</c:v>
                </c:pt>
                <c:pt idx="82">
                  <c:v>107</c:v>
                </c:pt>
                <c:pt idx="83">
                  <c:v>80</c:v>
                </c:pt>
                <c:pt idx="84">
                  <c:v>211</c:v>
                </c:pt>
                <c:pt idx="85">
                  <c:v>40</c:v>
                </c:pt>
                <c:pt idx="86">
                  <c:v>30</c:v>
                </c:pt>
                <c:pt idx="87">
                  <c:v>354</c:v>
                </c:pt>
                <c:pt idx="88">
                  <c:v>500</c:v>
                </c:pt>
                <c:pt idx="89">
                  <c:v>500</c:v>
                </c:pt>
                <c:pt idx="90">
                  <c:v>60</c:v>
                </c:pt>
                <c:pt idx="91">
                  <c:v>388</c:v>
                </c:pt>
                <c:pt idx="92">
                  <c:v>20</c:v>
                </c:pt>
                <c:pt idx="93">
                  <c:v>10</c:v>
                </c:pt>
                <c:pt idx="94">
                  <c:v>42</c:v>
                </c:pt>
                <c:pt idx="95">
                  <c:v>125</c:v>
                </c:pt>
                <c:pt idx="96">
                  <c:v>150</c:v>
                </c:pt>
                <c:pt idx="97">
                  <c:v>15</c:v>
                </c:pt>
                <c:pt idx="98">
                  <c:v>214</c:v>
                </c:pt>
                <c:pt idx="99">
                  <c:v>535.29999999999995</c:v>
                </c:pt>
                <c:pt idx="100">
                  <c:v>106</c:v>
                </c:pt>
                <c:pt idx="101">
                  <c:v>641</c:v>
                </c:pt>
                <c:pt idx="102">
                  <c:v>135.5</c:v>
                </c:pt>
                <c:pt idx="103">
                  <c:v>373</c:v>
                </c:pt>
                <c:pt idx="104">
                  <c:v>479</c:v>
                </c:pt>
                <c:pt idx="105">
                  <c:v>301.75</c:v>
                </c:pt>
                <c:pt idx="106">
                  <c:v>491</c:v>
                </c:pt>
                <c:pt idx="107">
                  <c:v>70</c:v>
                </c:pt>
                <c:pt idx="108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26-4532-ADD8-FC6326C78F2F}"/>
            </c:ext>
          </c:extLst>
        </c:ser>
        <c:ser>
          <c:idx val="1"/>
          <c:order val="1"/>
          <c:tx>
            <c:v>Predicted 85</c:v>
          </c:tx>
          <c:spPr>
            <a:ln w="19050">
              <a:noFill/>
            </a:ln>
          </c:spPr>
          <c:xVal>
            <c:numRef>
              <c:f>Sheet5!$J$3:$J$111</c:f>
              <c:numCache>
                <c:formatCode>General</c:formatCode>
                <c:ptCount val="10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1</c:v>
                </c:pt>
                <c:pt idx="108">
                  <c:v>0</c:v>
                </c:pt>
              </c:numCache>
            </c:numRef>
          </c:xVal>
          <c:yVal>
            <c:numRef>
              <c:f>Sheet5!$N$31:$N$139</c:f>
              <c:numCache>
                <c:formatCode>General</c:formatCode>
                <c:ptCount val="109"/>
                <c:pt idx="6">
                  <c:v>0.37375663314784996</c:v>
                </c:pt>
                <c:pt idx="7">
                  <c:v>0.13969402082201651</c:v>
                </c:pt>
                <c:pt idx="8">
                  <c:v>7.9870371549512612E-2</c:v>
                </c:pt>
                <c:pt idx="9">
                  <c:v>136.84878111829886</c:v>
                </c:pt>
                <c:pt idx="10">
                  <c:v>110</c:v>
                </c:pt>
                <c:pt idx="13">
                  <c:v>0</c:v>
                </c:pt>
                <c:pt idx="14">
                  <c:v>7</c:v>
                </c:pt>
                <c:pt idx="15">
                  <c:v>103</c:v>
                </c:pt>
                <c:pt idx="16">
                  <c:v>110</c:v>
                </c:pt>
                <c:pt idx="18">
                  <c:v>0</c:v>
                </c:pt>
                <c:pt idx="19">
                  <c:v>-20175.8335180131</c:v>
                </c:pt>
                <c:pt idx="20">
                  <c:v>0.4557923851150501</c:v>
                </c:pt>
                <c:pt idx="21">
                  <c:v>5.1260505022893881</c:v>
                </c:pt>
                <c:pt idx="22">
                  <c:v>-36.383491290900707</c:v>
                </c:pt>
                <c:pt idx="23">
                  <c:v>24.982102188428833</c:v>
                </c:pt>
                <c:pt idx="24">
                  <c:v>0</c:v>
                </c:pt>
                <c:pt idx="25">
                  <c:v>239.65625610514138</c:v>
                </c:pt>
                <c:pt idx="26">
                  <c:v>34.297036032698315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B26-4532-ADD8-FC6326C78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814159"/>
        <c:axId val="1787817487"/>
      </c:scatterChart>
      <c:valAx>
        <c:axId val="17878141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87817487"/>
        <c:crosses val="autoZero"/>
        <c:crossBetween val="midCat"/>
      </c:valAx>
      <c:valAx>
        <c:axId val="178781748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85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87814159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strRef>
              <c:f>Sheet5!$R$31:$R$139</c:f>
              <c:strCache>
                <c:ptCount val="27"/>
                <c:pt idx="13">
                  <c:v>Significance F</c:v>
                </c:pt>
                <c:pt idx="14">
                  <c:v>0.010758582</c:v>
                </c:pt>
                <c:pt idx="18">
                  <c:v>Lower 95%</c:v>
                </c:pt>
                <c:pt idx="19">
                  <c:v>-34288.81016</c:v>
                </c:pt>
                <c:pt idx="20">
                  <c:v>0.139348166</c:v>
                </c:pt>
                <c:pt idx="21">
                  <c:v>-189.9991287</c:v>
                </c:pt>
                <c:pt idx="22">
                  <c:v>-240.0820598</c:v>
                </c:pt>
                <c:pt idx="23">
                  <c:v>-179.0988247</c:v>
                </c:pt>
                <c:pt idx="24">
                  <c:v>0</c:v>
                </c:pt>
                <c:pt idx="25">
                  <c:v>-31.82854024</c:v>
                </c:pt>
                <c:pt idx="26">
                  <c:v>-216.0829042</c:v>
                </c:pt>
              </c:strCache>
            </c:strRef>
          </c:xVal>
          <c:yVal>
            <c:numRef>
              <c:f>Sheet5!$S$31:$S$139</c:f>
              <c:numCache>
                <c:formatCode>General</c:formatCode>
                <c:ptCount val="109"/>
                <c:pt idx="18">
                  <c:v>0</c:v>
                </c:pt>
                <c:pt idx="19">
                  <c:v>-6062.8568808214877</c:v>
                </c:pt>
                <c:pt idx="20">
                  <c:v>0.77223660391992066</c:v>
                </c:pt>
                <c:pt idx="21">
                  <c:v>200.25122975224849</c:v>
                </c:pt>
                <c:pt idx="22">
                  <c:v>167.31507723749917</c:v>
                </c:pt>
                <c:pt idx="23">
                  <c:v>229.0630291160746</c:v>
                </c:pt>
                <c:pt idx="24">
                  <c:v>0</c:v>
                </c:pt>
                <c:pt idx="25">
                  <c:v>511.14105245254399</c:v>
                </c:pt>
                <c:pt idx="26">
                  <c:v>284.67697622830792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7C-4D19-94C5-AD7926921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6481695"/>
        <c:axId val="1909717391"/>
      </c:scatterChart>
      <c:valAx>
        <c:axId val="17764816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09717391"/>
        <c:crosses val="autoZero"/>
        <c:crossBetween val="midCat"/>
      </c:valAx>
      <c:valAx>
        <c:axId val="190971739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85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76481695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January</a:t>
            </a:r>
            <a:r>
              <a:rPr lang="en-IN" baseline="0"/>
              <a:t> month prediction using EMA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Sheet7!$B$1</c:f>
              <c:strCache>
                <c:ptCount val="1"/>
                <c:pt idx="0">
                  <c:v>TOTAL EXPENSE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Sheet7!$A$2:$A$14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Jan-23</c:v>
                </c:pt>
              </c:strCache>
            </c:strRef>
          </c:cat>
          <c:val>
            <c:numRef>
              <c:f>Sheet7!$B$2:$B$14</c:f>
              <c:numCache>
                <c:formatCode>General</c:formatCode>
                <c:ptCount val="13"/>
                <c:pt idx="0">
                  <c:v>8210.7000000000007</c:v>
                </c:pt>
                <c:pt idx="1">
                  <c:v>6305.5</c:v>
                </c:pt>
                <c:pt idx="2">
                  <c:v>581</c:v>
                </c:pt>
                <c:pt idx="3">
                  <c:v>678</c:v>
                </c:pt>
                <c:pt idx="4">
                  <c:v>1623</c:v>
                </c:pt>
                <c:pt idx="5">
                  <c:v>772</c:v>
                </c:pt>
                <c:pt idx="6">
                  <c:v>360.15</c:v>
                </c:pt>
                <c:pt idx="7">
                  <c:v>148</c:v>
                </c:pt>
                <c:pt idx="8">
                  <c:v>224</c:v>
                </c:pt>
                <c:pt idx="9">
                  <c:v>300</c:v>
                </c:pt>
                <c:pt idx="10">
                  <c:v>136</c:v>
                </c:pt>
                <c:pt idx="11">
                  <c:v>303</c:v>
                </c:pt>
                <c:pt idx="12">
                  <c:v>453.02471156308002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CB-4A66-96EF-4B7D5A908F12}"/>
            </c:ext>
          </c:extLst>
        </c:ser>
        <c:ser>
          <c:idx val="1"/>
          <c:order val="1"/>
          <c:tx>
            <c:strRef>
              <c:f>Sheet7!$C$1</c:f>
              <c:strCache>
                <c:ptCount val="1"/>
                <c:pt idx="0">
                  <c:v>EMA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Sheet7!$A$2:$A$14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Jan-23</c:v>
                </c:pt>
              </c:strCache>
            </c:strRef>
          </c:cat>
          <c:val>
            <c:numRef>
              <c:f>Sheet7!$C$2:$C$14</c:f>
              <c:numCache>
                <c:formatCode>General</c:formatCode>
                <c:ptCount val="13"/>
                <c:pt idx="0">
                  <c:v>8210.7000000000007</c:v>
                </c:pt>
                <c:pt idx="1">
                  <c:v>7639.1399999999994</c:v>
                </c:pt>
                <c:pt idx="2">
                  <c:v>5521.6979999999994</c:v>
                </c:pt>
                <c:pt idx="3">
                  <c:v>4068.5885999999996</c:v>
                </c:pt>
                <c:pt idx="4">
                  <c:v>3334.9120199999998</c:v>
                </c:pt>
                <c:pt idx="5">
                  <c:v>2566.0384139999996</c:v>
                </c:pt>
                <c:pt idx="6">
                  <c:v>1904.2718897999996</c:v>
                </c:pt>
                <c:pt idx="7">
                  <c:v>1377.3903228599997</c:v>
                </c:pt>
                <c:pt idx="8">
                  <c:v>1031.3732260019997</c:v>
                </c:pt>
                <c:pt idx="9">
                  <c:v>811.96125820139969</c:v>
                </c:pt>
                <c:pt idx="10">
                  <c:v>609.17288074097974</c:v>
                </c:pt>
                <c:pt idx="11">
                  <c:v>517.32101651868584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CB-4A66-96EF-4B7D5A908F1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39741984"/>
        <c:axId val="1439740736"/>
      </c:lineChart>
      <c:catAx>
        <c:axId val="1439741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740736"/>
        <c:crosses val="autoZero"/>
        <c:auto val="1"/>
        <c:lblAlgn val="ctr"/>
        <c:lblOffset val="100"/>
        <c:noMultiLvlLbl val="0"/>
      </c:catAx>
      <c:valAx>
        <c:axId val="143974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741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13" Type="http://schemas.openxmlformats.org/officeDocument/2006/relationships/chart" Target="../charts/chart20.xml"/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12" Type="http://schemas.openxmlformats.org/officeDocument/2006/relationships/chart" Target="../charts/chart19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11" Type="http://schemas.openxmlformats.org/officeDocument/2006/relationships/chart" Target="../charts/chart18.xml"/><Relationship Id="rId5" Type="http://schemas.openxmlformats.org/officeDocument/2006/relationships/chart" Target="../charts/chart12.xml"/><Relationship Id="rId15" Type="http://schemas.openxmlformats.org/officeDocument/2006/relationships/chart" Target="../charts/chart22.xml"/><Relationship Id="rId10" Type="http://schemas.openxmlformats.org/officeDocument/2006/relationships/chart" Target="../charts/chart17.xml"/><Relationship Id="rId4" Type="http://schemas.openxmlformats.org/officeDocument/2006/relationships/chart" Target="../charts/chart11.xml"/><Relationship Id="rId9" Type="http://schemas.openxmlformats.org/officeDocument/2006/relationships/chart" Target="../charts/chart16.xml"/><Relationship Id="rId14" Type="http://schemas.openxmlformats.org/officeDocument/2006/relationships/chart" Target="../charts/chart2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26</xdr:col>
      <xdr:colOff>390770</xdr:colOff>
      <xdr:row>17</xdr:row>
      <xdr:rowOff>78154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0</xdr:colOff>
      <xdr:row>1</xdr:row>
      <xdr:rowOff>1</xdr:rowOff>
    </xdr:from>
    <xdr:to>
      <xdr:col>38</xdr:col>
      <xdr:colOff>205154</xdr:colOff>
      <xdr:row>19</xdr:row>
      <xdr:rowOff>9769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141658</xdr:colOff>
      <xdr:row>28</xdr:row>
      <xdr:rowOff>21843</xdr:rowOff>
    </xdr:from>
    <xdr:to>
      <xdr:col>29</xdr:col>
      <xdr:colOff>390768</xdr:colOff>
      <xdr:row>45</xdr:row>
      <xdr:rowOff>87923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16</xdr:row>
      <xdr:rowOff>175260</xdr:rowOff>
    </xdr:from>
    <xdr:to>
      <xdr:col>11</xdr:col>
      <xdr:colOff>16933</xdr:colOff>
      <xdr:row>33</xdr:row>
      <xdr:rowOff>67733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577427</xdr:colOff>
      <xdr:row>40</xdr:row>
      <xdr:rowOff>30480</xdr:rowOff>
    </xdr:from>
    <xdr:to>
      <xdr:col>6</xdr:col>
      <xdr:colOff>567267</xdr:colOff>
      <xdr:row>54</xdr:row>
      <xdr:rowOff>162560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136071</xdr:colOff>
      <xdr:row>2</xdr:row>
      <xdr:rowOff>16329</xdr:rowOff>
    </xdr:from>
    <xdr:to>
      <xdr:col>20</xdr:col>
      <xdr:colOff>272142</xdr:colOff>
      <xdr:row>17</xdr:row>
      <xdr:rowOff>38100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974911</xdr:colOff>
      <xdr:row>21</xdr:row>
      <xdr:rowOff>89646</xdr:rowOff>
    </xdr:from>
    <xdr:to>
      <xdr:col>13</xdr:col>
      <xdr:colOff>526677</xdr:colOff>
      <xdr:row>37</xdr:row>
      <xdr:rowOff>56029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259081</xdr:colOff>
      <xdr:row>88</xdr:row>
      <xdr:rowOff>144781</xdr:rowOff>
    </xdr:from>
    <xdr:to>
      <xdr:col>27</xdr:col>
      <xdr:colOff>259081</xdr:colOff>
      <xdr:row>98</xdr:row>
      <xdr:rowOff>167642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259081</xdr:colOff>
      <xdr:row>88</xdr:row>
      <xdr:rowOff>144780</xdr:rowOff>
    </xdr:from>
    <xdr:to>
      <xdr:col>28</xdr:col>
      <xdr:colOff>259081</xdr:colOff>
      <xdr:row>98</xdr:row>
      <xdr:rowOff>160020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259081</xdr:colOff>
      <xdr:row>88</xdr:row>
      <xdr:rowOff>144781</xdr:rowOff>
    </xdr:from>
    <xdr:to>
      <xdr:col>29</xdr:col>
      <xdr:colOff>259081</xdr:colOff>
      <xdr:row>98</xdr:row>
      <xdr:rowOff>167640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259081</xdr:colOff>
      <xdr:row>88</xdr:row>
      <xdr:rowOff>144780</xdr:rowOff>
    </xdr:from>
    <xdr:to>
      <xdr:col>30</xdr:col>
      <xdr:colOff>259081</xdr:colOff>
      <xdr:row>98</xdr:row>
      <xdr:rowOff>175260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259081</xdr:colOff>
      <xdr:row>88</xdr:row>
      <xdr:rowOff>144780</xdr:rowOff>
    </xdr:from>
    <xdr:to>
      <xdr:col>31</xdr:col>
      <xdr:colOff>259081</xdr:colOff>
      <xdr:row>98</xdr:row>
      <xdr:rowOff>167640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259081</xdr:colOff>
      <xdr:row>88</xdr:row>
      <xdr:rowOff>144781</xdr:rowOff>
    </xdr:from>
    <xdr:to>
      <xdr:col>32</xdr:col>
      <xdr:colOff>259081</xdr:colOff>
      <xdr:row>98</xdr:row>
      <xdr:rowOff>160020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27</xdr:col>
      <xdr:colOff>259081</xdr:colOff>
      <xdr:row>88</xdr:row>
      <xdr:rowOff>144780</xdr:rowOff>
    </xdr:from>
    <xdr:to>
      <xdr:col>33</xdr:col>
      <xdr:colOff>259081</xdr:colOff>
      <xdr:row>98</xdr:row>
      <xdr:rowOff>160020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259081</xdr:colOff>
      <xdr:row>88</xdr:row>
      <xdr:rowOff>144780</xdr:rowOff>
    </xdr:from>
    <xdr:to>
      <xdr:col>34</xdr:col>
      <xdr:colOff>259081</xdr:colOff>
      <xdr:row>98</xdr:row>
      <xdr:rowOff>160020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29</xdr:col>
      <xdr:colOff>259081</xdr:colOff>
      <xdr:row>88</xdr:row>
      <xdr:rowOff>144780</xdr:rowOff>
    </xdr:from>
    <xdr:to>
      <xdr:col>35</xdr:col>
      <xdr:colOff>259081</xdr:colOff>
      <xdr:row>98</xdr:row>
      <xdr:rowOff>152400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30</xdr:col>
      <xdr:colOff>259081</xdr:colOff>
      <xdr:row>88</xdr:row>
      <xdr:rowOff>144780</xdr:rowOff>
    </xdr:from>
    <xdr:to>
      <xdr:col>36</xdr:col>
      <xdr:colOff>259081</xdr:colOff>
      <xdr:row>98</xdr:row>
      <xdr:rowOff>152400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31</xdr:col>
      <xdr:colOff>259081</xdr:colOff>
      <xdr:row>88</xdr:row>
      <xdr:rowOff>144780</xdr:rowOff>
    </xdr:from>
    <xdr:to>
      <xdr:col>37</xdr:col>
      <xdr:colOff>259081</xdr:colOff>
      <xdr:row>98</xdr:row>
      <xdr:rowOff>160020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32</xdr:col>
      <xdr:colOff>259081</xdr:colOff>
      <xdr:row>88</xdr:row>
      <xdr:rowOff>144781</xdr:rowOff>
    </xdr:from>
    <xdr:to>
      <xdr:col>38</xdr:col>
      <xdr:colOff>259081</xdr:colOff>
      <xdr:row>98</xdr:row>
      <xdr:rowOff>160020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259081</xdr:colOff>
      <xdr:row>88</xdr:row>
      <xdr:rowOff>144780</xdr:rowOff>
    </xdr:from>
    <xdr:to>
      <xdr:col>39</xdr:col>
      <xdr:colOff>259081</xdr:colOff>
      <xdr:row>98</xdr:row>
      <xdr:rowOff>152400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34</xdr:col>
      <xdr:colOff>259081</xdr:colOff>
      <xdr:row>88</xdr:row>
      <xdr:rowOff>144780</xdr:rowOff>
    </xdr:from>
    <xdr:to>
      <xdr:col>40</xdr:col>
      <xdr:colOff>259081</xdr:colOff>
      <xdr:row>98</xdr:row>
      <xdr:rowOff>152400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35</xdr:col>
      <xdr:colOff>259081</xdr:colOff>
      <xdr:row>88</xdr:row>
      <xdr:rowOff>144780</xdr:rowOff>
    </xdr:from>
    <xdr:to>
      <xdr:col>41</xdr:col>
      <xdr:colOff>259081</xdr:colOff>
      <xdr:row>98</xdr:row>
      <xdr:rowOff>152400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65493</xdr:colOff>
      <xdr:row>15</xdr:row>
      <xdr:rowOff>71667</xdr:rowOff>
    </xdr:from>
    <xdr:to>
      <xdr:col>10</xdr:col>
      <xdr:colOff>376177</xdr:colOff>
      <xdr:row>40</xdr:row>
      <xdr:rowOff>18326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hruvi" refreshedDate="45531.915177199073" createdVersion="6" refreshedVersion="6" minRefreshableVersion="3" recordCount="110">
  <cacheSource type="worksheet">
    <worksheetSource ref="A1:C111" sheet="Sheet1"/>
  </cacheSource>
  <cacheFields count="4">
    <cacheField name="Date" numFmtId="14">
      <sharedItems containsSemiMixedTypes="0" containsNonDate="0" containsDate="1" containsString="0" minDate="2022-01-01T21:46:00" maxDate="2022-12-02T21:20:00" count="69">
        <d v="2022-12-02T21:20:00"/>
        <d v="2022-12-02T16:04:00"/>
        <d v="2022-12-02T14:48:00"/>
        <d v="2022-12-01T22:44:00"/>
        <d v="2022-12-01T13:25:00"/>
        <d v="2022-11-02T22:41:00"/>
        <d v="2022-11-01T14:07:00"/>
        <d v="2022-10-02T20:15:00"/>
        <d v="2022-10-01T14:04:00"/>
        <d v="2022-08-01T13:45:00"/>
        <d v="2022-07-02T07:08:00"/>
        <d v="2022-07-01T13:51:00"/>
        <d v="2022-06-02T18:32:00"/>
        <d v="2022-06-02T17:53:00"/>
        <d v="2022-06-01T20:58:00"/>
        <d v="2022-06-01T14:22:00"/>
        <d v="2022-06-01T11:48:00"/>
        <d v="2022-05-01T20:23:00"/>
        <d v="2022-05-01T14:46:00"/>
        <d v="2022-05-01T14:42:00"/>
        <d v="2022-05-01T14:39:00"/>
        <d v="2022-05-01T14:37:00"/>
        <d v="2022-05-01T14:35:00"/>
        <d v="2022-05-01T14:30:00"/>
        <d v="2022-04-02T20:28:00"/>
        <d v="2022-04-01T13:53:00"/>
        <d v="2022-04-01T08:01:00"/>
        <d v="2022-04-01T07:58:00"/>
        <d v="2022-03-02T14:53:00"/>
        <d v="2022-03-02T08:59:00"/>
        <d v="2022-03-01T22:15:00"/>
        <d v="2022-03-01T14:31:00"/>
        <d v="2022-02-28T00:00:00"/>
        <d v="2022-02-27T00:00:00"/>
        <d v="2022-02-26T00:00:00"/>
        <d v="2022-02-25T00:00:00"/>
        <d v="2022-02-24T00:00:00"/>
        <d v="2022-02-23T00:00:00"/>
        <d v="2022-02-22T00:00:00"/>
        <d v="2022-02-21T00:00:00"/>
        <d v="2022-02-20T00:00:00"/>
        <d v="2022-02-19T00:00:00"/>
        <d v="2022-02-18T00:00:00"/>
        <d v="2022-02-17T00:00:00"/>
        <d v="2022-02-16T00:00:00"/>
        <d v="2022-02-13T00:00:00"/>
        <d v="2022-02-03T10:11:00"/>
        <d v="2022-02-02T20:15:00"/>
        <d v="2022-02-01T20:33:00"/>
        <d v="2022-02-01T20:32:00"/>
        <d v="2022-01-31T00:00:00"/>
        <d v="2022-01-30T00:00:00"/>
        <d v="2022-01-29T00:00:00"/>
        <d v="2022-01-28T00:00:00"/>
        <d v="2022-01-27T00:00:00"/>
        <d v="2022-01-26T00:00:00"/>
        <d v="2022-01-25T00:00:00"/>
        <d v="2022-01-24T00:00:00"/>
        <d v="2022-01-23T00:00:00"/>
        <d v="2022-01-21T00:00:00"/>
        <d v="2022-01-19T00:00:00"/>
        <d v="2022-01-18T00:00:00"/>
        <d v="2022-01-17T00:00:00"/>
        <d v="2022-01-15T00:00:00"/>
        <d v="2022-01-13T00:00:00"/>
        <d v="2022-01-03T19:50:00"/>
        <d v="2022-01-03T18:56:00"/>
        <d v="2022-01-03T18:22:00"/>
        <d v="2022-01-01T21:46:00"/>
      </sharedItems>
      <fieldGroup par="3" base="0">
        <rangePr groupBy="days" startDate="2022-01-01T21:46:00" endDate="2022-12-02T21:20:00"/>
        <groupItems count="368">
          <s v="&lt;01-01-2022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-12-2022"/>
        </groupItems>
      </fieldGroup>
    </cacheField>
    <cacheField name="Category" numFmtId="0">
      <sharedItems count="6">
        <s v="Food"/>
        <s v="Household"/>
        <s v="Other"/>
        <s v="Transportation"/>
        <s v="Apparel"/>
        <s v="Social Life"/>
      </sharedItems>
    </cacheField>
    <cacheField name="Amount" numFmtId="0">
      <sharedItems containsSemiMixedTypes="0" containsString="0" containsNumber="1" minValue="8" maxValue="641" count="75">
        <n v="491"/>
        <n v="70"/>
        <n v="80"/>
        <n v="479"/>
        <n v="301.75"/>
        <n v="373"/>
        <n v="135.5"/>
        <n v="641"/>
        <n v="106"/>
        <n v="535.29999999999995"/>
        <n v="214"/>
        <n v="15"/>
        <n v="125"/>
        <n v="150"/>
        <n v="20"/>
        <n v="10"/>
        <n v="42"/>
        <n v="211"/>
        <n v="40"/>
        <n v="30"/>
        <n v="354"/>
        <n v="500"/>
        <n v="60"/>
        <n v="388"/>
        <n v="107"/>
        <n v="50"/>
        <n v="300"/>
        <n v="339.15"/>
        <n v="243"/>
        <n v="25"/>
        <n v="100"/>
        <n v="84"/>
        <n v="33"/>
        <n v="303"/>
        <n v="289"/>
        <n v="324.7"/>
        <n v="399"/>
        <n v="83"/>
        <n v="120"/>
        <n v="138"/>
        <n v="336"/>
        <n v="201.8"/>
        <n v="200"/>
        <n v="111"/>
        <n v="250"/>
        <n v="380"/>
        <n v="270"/>
        <n v="348"/>
        <n v="165"/>
        <n v="475"/>
        <n v="8"/>
        <n v="153"/>
        <n v="155"/>
        <n v="105"/>
        <n v="44"/>
        <n v="43"/>
        <n v="279"/>
        <n v="115"/>
        <n v="259"/>
        <n v="18"/>
        <n v="325"/>
        <n v="133"/>
        <n v="465"/>
        <n v="302"/>
        <n v="176"/>
        <n v="188"/>
        <n v="37"/>
        <n v="171"/>
        <n v="301.14999999999998"/>
        <n v="59"/>
        <n v="148"/>
        <n v="66"/>
        <n v="78"/>
        <n v="67"/>
        <n v="85"/>
      </sharedItems>
    </cacheField>
    <cacheField name="Months" numFmtId="0" databaseField="0">
      <fieldGroup base="0">
        <rangePr groupBy="months" startDate="2022-01-01T21:46:00" endDate="2022-12-02T21:20:00"/>
        <groupItems count="14">
          <s v="&lt;01-01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12-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Dhruvi" refreshedDate="45533.311257407404" createdVersion="6" refreshedVersion="6" minRefreshableVersion="3" recordCount="110">
  <cacheSource type="worksheet">
    <worksheetSource ref="A1:B111" sheet="Sheet2"/>
  </cacheSource>
  <cacheFields count="3">
    <cacheField name="Date" numFmtId="14">
      <sharedItems containsSemiMixedTypes="0" containsNonDate="0" containsDate="1" containsString="0" minDate="2022-01-01T00:00:00" maxDate="2022-12-03T00:00:00" count="50">
        <d v="2022-01-01T00:00:00"/>
        <d v="2022-01-03T00:00:00"/>
        <d v="2022-01-13T00:00:00"/>
        <d v="2022-01-15T00:00:00"/>
        <d v="2022-01-17T00:00:00"/>
        <d v="2022-01-18T00:00:00"/>
        <d v="2022-01-19T00:00:00"/>
        <d v="2022-01-21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13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4-01T00:00:00"/>
        <d v="2022-04-02T00:00:00"/>
        <d v="2022-05-01T00:00:00"/>
        <d v="2022-06-01T00:00:00"/>
        <d v="2022-06-02T00:00:00"/>
        <d v="2022-07-01T00:00:00"/>
        <d v="2022-07-02T00:00:00"/>
        <d v="2022-08-01T00:00:00"/>
        <d v="2022-10-01T00:00:00"/>
        <d v="2022-10-02T00:00:00"/>
        <d v="2022-11-01T00:00:00"/>
        <d v="2022-11-02T00:00:00"/>
        <d v="2022-12-01T00:00:00"/>
        <d v="2022-12-02T00:00:00"/>
      </sharedItems>
      <fieldGroup par="2" base="0">
        <rangePr groupBy="days" startDate="2022-01-01T00:00:00" endDate="2022-12-03T00:00:00"/>
        <groupItems count="368">
          <s v="&lt;01-01-2022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3-12-2022"/>
        </groupItems>
      </fieldGroup>
    </cacheField>
    <cacheField name="Amount" numFmtId="0">
      <sharedItems containsSemiMixedTypes="0" containsString="0" containsNumber="1" minValue="8" maxValue="641"/>
    </cacheField>
    <cacheField name="Months" numFmtId="0" databaseField="0">
      <fieldGroup base="0">
        <rangePr groupBy="months" startDate="2022-01-01T00:00:00" endDate="2022-12-03T00:00:00"/>
        <groupItems count="14">
          <s v="&lt;01-01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3-12-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0">
  <r>
    <x v="0"/>
    <x v="0"/>
    <x v="0"/>
  </r>
  <r>
    <x v="1"/>
    <x v="1"/>
    <x v="1"/>
  </r>
  <r>
    <x v="2"/>
    <x v="0"/>
    <x v="2"/>
  </r>
  <r>
    <x v="3"/>
    <x v="2"/>
    <x v="3"/>
  </r>
  <r>
    <x v="4"/>
    <x v="0"/>
    <x v="4"/>
  </r>
  <r>
    <x v="5"/>
    <x v="0"/>
    <x v="5"/>
  </r>
  <r>
    <x v="6"/>
    <x v="0"/>
    <x v="6"/>
  </r>
  <r>
    <x v="7"/>
    <x v="0"/>
    <x v="7"/>
  </r>
  <r>
    <x v="8"/>
    <x v="0"/>
    <x v="8"/>
  </r>
  <r>
    <x v="9"/>
    <x v="0"/>
    <x v="9"/>
  </r>
  <r>
    <x v="10"/>
    <x v="3"/>
    <x v="10"/>
  </r>
  <r>
    <x v="11"/>
    <x v="0"/>
    <x v="11"/>
  </r>
  <r>
    <x v="12"/>
    <x v="0"/>
    <x v="12"/>
  </r>
  <r>
    <x v="13"/>
    <x v="0"/>
    <x v="13"/>
  </r>
  <r>
    <x v="14"/>
    <x v="0"/>
    <x v="14"/>
  </r>
  <r>
    <x v="15"/>
    <x v="0"/>
    <x v="15"/>
  </r>
  <r>
    <x v="16"/>
    <x v="3"/>
    <x v="16"/>
  </r>
  <r>
    <x v="17"/>
    <x v="0"/>
    <x v="17"/>
  </r>
  <r>
    <x v="18"/>
    <x v="2"/>
    <x v="18"/>
  </r>
  <r>
    <x v="19"/>
    <x v="2"/>
    <x v="19"/>
  </r>
  <r>
    <x v="19"/>
    <x v="0"/>
    <x v="20"/>
  </r>
  <r>
    <x v="20"/>
    <x v="2"/>
    <x v="21"/>
  </r>
  <r>
    <x v="21"/>
    <x v="2"/>
    <x v="21"/>
  </r>
  <r>
    <x v="22"/>
    <x v="3"/>
    <x v="22"/>
  </r>
  <r>
    <x v="23"/>
    <x v="0"/>
    <x v="23"/>
  </r>
  <r>
    <x v="24"/>
    <x v="0"/>
    <x v="2"/>
  </r>
  <r>
    <x v="25"/>
    <x v="0"/>
    <x v="8"/>
  </r>
  <r>
    <x v="26"/>
    <x v="2"/>
    <x v="2"/>
  </r>
  <r>
    <x v="27"/>
    <x v="0"/>
    <x v="24"/>
  </r>
  <r>
    <x v="28"/>
    <x v="0"/>
    <x v="25"/>
  </r>
  <r>
    <x v="29"/>
    <x v="2"/>
    <x v="13"/>
  </r>
  <r>
    <x v="30"/>
    <x v="0"/>
    <x v="15"/>
  </r>
  <r>
    <x v="31"/>
    <x v="0"/>
    <x v="26"/>
  </r>
  <r>
    <x v="32"/>
    <x v="0"/>
    <x v="27"/>
  </r>
  <r>
    <x v="33"/>
    <x v="0"/>
    <x v="28"/>
  </r>
  <r>
    <x v="34"/>
    <x v="0"/>
    <x v="29"/>
  </r>
  <r>
    <x v="34"/>
    <x v="2"/>
    <x v="30"/>
  </r>
  <r>
    <x v="34"/>
    <x v="0"/>
    <x v="18"/>
  </r>
  <r>
    <x v="34"/>
    <x v="0"/>
    <x v="31"/>
  </r>
  <r>
    <x v="35"/>
    <x v="0"/>
    <x v="32"/>
  </r>
  <r>
    <x v="36"/>
    <x v="1"/>
    <x v="33"/>
  </r>
  <r>
    <x v="36"/>
    <x v="0"/>
    <x v="34"/>
  </r>
  <r>
    <x v="36"/>
    <x v="0"/>
    <x v="35"/>
  </r>
  <r>
    <x v="37"/>
    <x v="4"/>
    <x v="36"/>
  </r>
  <r>
    <x v="37"/>
    <x v="0"/>
    <x v="37"/>
  </r>
  <r>
    <x v="37"/>
    <x v="4"/>
    <x v="36"/>
  </r>
  <r>
    <x v="38"/>
    <x v="3"/>
    <x v="38"/>
  </r>
  <r>
    <x v="39"/>
    <x v="3"/>
    <x v="39"/>
  </r>
  <r>
    <x v="39"/>
    <x v="1"/>
    <x v="40"/>
  </r>
  <r>
    <x v="39"/>
    <x v="3"/>
    <x v="41"/>
  </r>
  <r>
    <x v="40"/>
    <x v="0"/>
    <x v="42"/>
  </r>
  <r>
    <x v="41"/>
    <x v="0"/>
    <x v="43"/>
  </r>
  <r>
    <x v="41"/>
    <x v="0"/>
    <x v="44"/>
  </r>
  <r>
    <x v="41"/>
    <x v="3"/>
    <x v="42"/>
  </r>
  <r>
    <x v="41"/>
    <x v="0"/>
    <x v="45"/>
  </r>
  <r>
    <x v="41"/>
    <x v="3"/>
    <x v="22"/>
  </r>
  <r>
    <x v="41"/>
    <x v="2"/>
    <x v="25"/>
  </r>
  <r>
    <x v="41"/>
    <x v="3"/>
    <x v="46"/>
  </r>
  <r>
    <x v="42"/>
    <x v="0"/>
    <x v="47"/>
  </r>
  <r>
    <x v="43"/>
    <x v="0"/>
    <x v="2"/>
  </r>
  <r>
    <x v="44"/>
    <x v="0"/>
    <x v="48"/>
  </r>
  <r>
    <x v="44"/>
    <x v="0"/>
    <x v="49"/>
  </r>
  <r>
    <x v="45"/>
    <x v="5"/>
    <x v="30"/>
  </r>
  <r>
    <x v="46"/>
    <x v="0"/>
    <x v="25"/>
  </r>
  <r>
    <x v="46"/>
    <x v="2"/>
    <x v="26"/>
  </r>
  <r>
    <x v="47"/>
    <x v="0"/>
    <x v="38"/>
  </r>
  <r>
    <x v="48"/>
    <x v="2"/>
    <x v="50"/>
  </r>
  <r>
    <x v="49"/>
    <x v="0"/>
    <x v="42"/>
  </r>
  <r>
    <x v="50"/>
    <x v="3"/>
    <x v="25"/>
  </r>
  <r>
    <x v="50"/>
    <x v="2"/>
    <x v="42"/>
  </r>
  <r>
    <x v="50"/>
    <x v="3"/>
    <x v="51"/>
  </r>
  <r>
    <x v="51"/>
    <x v="0"/>
    <x v="52"/>
  </r>
  <r>
    <x v="51"/>
    <x v="0"/>
    <x v="38"/>
  </r>
  <r>
    <x v="51"/>
    <x v="0"/>
    <x v="53"/>
  </r>
  <r>
    <x v="52"/>
    <x v="3"/>
    <x v="54"/>
  </r>
  <r>
    <x v="52"/>
    <x v="2"/>
    <x v="30"/>
  </r>
  <r>
    <x v="53"/>
    <x v="0"/>
    <x v="15"/>
  </r>
  <r>
    <x v="53"/>
    <x v="0"/>
    <x v="39"/>
  </r>
  <r>
    <x v="54"/>
    <x v="3"/>
    <x v="55"/>
  </r>
  <r>
    <x v="54"/>
    <x v="2"/>
    <x v="26"/>
  </r>
  <r>
    <x v="54"/>
    <x v="2"/>
    <x v="30"/>
  </r>
  <r>
    <x v="54"/>
    <x v="0"/>
    <x v="56"/>
  </r>
  <r>
    <x v="55"/>
    <x v="0"/>
    <x v="57"/>
  </r>
  <r>
    <x v="55"/>
    <x v="0"/>
    <x v="29"/>
  </r>
  <r>
    <x v="56"/>
    <x v="0"/>
    <x v="58"/>
  </r>
  <r>
    <x v="56"/>
    <x v="0"/>
    <x v="59"/>
  </r>
  <r>
    <x v="56"/>
    <x v="3"/>
    <x v="60"/>
  </r>
  <r>
    <x v="57"/>
    <x v="0"/>
    <x v="18"/>
  </r>
  <r>
    <x v="57"/>
    <x v="0"/>
    <x v="61"/>
  </r>
  <r>
    <x v="58"/>
    <x v="0"/>
    <x v="18"/>
  </r>
  <r>
    <x v="58"/>
    <x v="0"/>
    <x v="62"/>
  </r>
  <r>
    <x v="58"/>
    <x v="0"/>
    <x v="26"/>
  </r>
  <r>
    <x v="58"/>
    <x v="0"/>
    <x v="63"/>
  </r>
  <r>
    <x v="58"/>
    <x v="0"/>
    <x v="64"/>
  </r>
  <r>
    <x v="58"/>
    <x v="5"/>
    <x v="42"/>
  </r>
  <r>
    <x v="59"/>
    <x v="0"/>
    <x v="65"/>
  </r>
  <r>
    <x v="59"/>
    <x v="0"/>
    <x v="66"/>
  </r>
  <r>
    <x v="60"/>
    <x v="0"/>
    <x v="67"/>
  </r>
  <r>
    <x v="61"/>
    <x v="0"/>
    <x v="68"/>
  </r>
  <r>
    <x v="61"/>
    <x v="0"/>
    <x v="69"/>
  </r>
  <r>
    <x v="61"/>
    <x v="0"/>
    <x v="70"/>
  </r>
  <r>
    <x v="61"/>
    <x v="2"/>
    <x v="42"/>
  </r>
  <r>
    <x v="62"/>
    <x v="0"/>
    <x v="30"/>
  </r>
  <r>
    <x v="63"/>
    <x v="0"/>
    <x v="1"/>
  </r>
  <r>
    <x v="64"/>
    <x v="0"/>
    <x v="71"/>
  </r>
  <r>
    <x v="64"/>
    <x v="3"/>
    <x v="55"/>
  </r>
  <r>
    <x v="65"/>
    <x v="0"/>
    <x v="72"/>
  </r>
  <r>
    <x v="66"/>
    <x v="3"/>
    <x v="19"/>
  </r>
  <r>
    <x v="67"/>
    <x v="0"/>
    <x v="73"/>
  </r>
  <r>
    <x v="68"/>
    <x v="0"/>
    <x v="7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10">
  <r>
    <x v="0"/>
    <n v="85"/>
  </r>
  <r>
    <x v="1"/>
    <n v="78"/>
  </r>
  <r>
    <x v="1"/>
    <n v="30"/>
  </r>
  <r>
    <x v="1"/>
    <n v="67"/>
  </r>
  <r>
    <x v="2"/>
    <n v="66"/>
  </r>
  <r>
    <x v="2"/>
    <n v="43"/>
  </r>
  <r>
    <x v="3"/>
    <n v="70"/>
  </r>
  <r>
    <x v="4"/>
    <n v="100"/>
  </r>
  <r>
    <x v="5"/>
    <n v="301.14999999999998"/>
  </r>
  <r>
    <x v="5"/>
    <n v="59"/>
  </r>
  <r>
    <x v="5"/>
    <n v="148"/>
  </r>
  <r>
    <x v="5"/>
    <n v="200"/>
  </r>
  <r>
    <x v="6"/>
    <n v="171"/>
  </r>
  <r>
    <x v="7"/>
    <n v="188"/>
  </r>
  <r>
    <x v="7"/>
    <n v="37"/>
  </r>
  <r>
    <x v="8"/>
    <n v="40"/>
  </r>
  <r>
    <x v="8"/>
    <n v="465"/>
  </r>
  <r>
    <x v="8"/>
    <n v="300"/>
  </r>
  <r>
    <x v="8"/>
    <n v="302"/>
  </r>
  <r>
    <x v="8"/>
    <n v="176"/>
  </r>
  <r>
    <x v="8"/>
    <n v="200"/>
  </r>
  <r>
    <x v="9"/>
    <n v="40"/>
  </r>
  <r>
    <x v="9"/>
    <n v="133"/>
  </r>
  <r>
    <x v="10"/>
    <n v="259"/>
  </r>
  <r>
    <x v="10"/>
    <n v="18"/>
  </r>
  <r>
    <x v="10"/>
    <n v="325"/>
  </r>
  <r>
    <x v="11"/>
    <n v="115"/>
  </r>
  <r>
    <x v="11"/>
    <n v="25"/>
  </r>
  <r>
    <x v="12"/>
    <n v="43"/>
  </r>
  <r>
    <x v="12"/>
    <n v="300"/>
  </r>
  <r>
    <x v="12"/>
    <n v="100"/>
  </r>
  <r>
    <x v="12"/>
    <n v="279"/>
  </r>
  <r>
    <x v="13"/>
    <n v="10"/>
  </r>
  <r>
    <x v="13"/>
    <n v="138"/>
  </r>
  <r>
    <x v="14"/>
    <n v="44"/>
  </r>
  <r>
    <x v="14"/>
    <n v="100"/>
  </r>
  <r>
    <x v="15"/>
    <n v="155"/>
  </r>
  <r>
    <x v="15"/>
    <n v="120"/>
  </r>
  <r>
    <x v="15"/>
    <n v="105"/>
  </r>
  <r>
    <x v="16"/>
    <n v="50"/>
  </r>
  <r>
    <x v="16"/>
    <n v="200"/>
  </r>
  <r>
    <x v="16"/>
    <n v="153"/>
  </r>
  <r>
    <x v="17"/>
    <n v="8"/>
  </r>
  <r>
    <x v="17"/>
    <n v="200"/>
  </r>
  <r>
    <x v="18"/>
    <n v="120"/>
  </r>
  <r>
    <x v="19"/>
    <n v="50"/>
  </r>
  <r>
    <x v="19"/>
    <n v="300"/>
  </r>
  <r>
    <x v="20"/>
    <n v="100"/>
  </r>
  <r>
    <x v="21"/>
    <n v="165"/>
  </r>
  <r>
    <x v="21"/>
    <n v="475"/>
  </r>
  <r>
    <x v="22"/>
    <n v="80"/>
  </r>
  <r>
    <x v="23"/>
    <n v="348"/>
  </r>
  <r>
    <x v="24"/>
    <n v="111"/>
  </r>
  <r>
    <x v="24"/>
    <n v="250"/>
  </r>
  <r>
    <x v="24"/>
    <n v="200"/>
  </r>
  <r>
    <x v="24"/>
    <n v="380"/>
  </r>
  <r>
    <x v="24"/>
    <n v="60"/>
  </r>
  <r>
    <x v="24"/>
    <n v="50"/>
  </r>
  <r>
    <x v="24"/>
    <n v="270"/>
  </r>
  <r>
    <x v="25"/>
    <n v="200"/>
  </r>
  <r>
    <x v="26"/>
    <n v="138"/>
  </r>
  <r>
    <x v="26"/>
    <n v="336"/>
  </r>
  <r>
    <x v="26"/>
    <n v="201.8"/>
  </r>
  <r>
    <x v="27"/>
    <n v="120"/>
  </r>
  <r>
    <x v="28"/>
    <n v="399"/>
  </r>
  <r>
    <x v="28"/>
    <n v="83"/>
  </r>
  <r>
    <x v="28"/>
    <n v="399"/>
  </r>
  <r>
    <x v="29"/>
    <n v="303"/>
  </r>
  <r>
    <x v="29"/>
    <n v="289"/>
  </r>
  <r>
    <x v="29"/>
    <n v="324.7"/>
  </r>
  <r>
    <x v="30"/>
    <n v="33"/>
  </r>
  <r>
    <x v="31"/>
    <n v="25"/>
  </r>
  <r>
    <x v="31"/>
    <n v="100"/>
  </r>
  <r>
    <x v="31"/>
    <n v="40"/>
  </r>
  <r>
    <x v="31"/>
    <n v="84"/>
  </r>
  <r>
    <x v="32"/>
    <n v="243"/>
  </r>
  <r>
    <x v="33"/>
    <n v="339.15"/>
  </r>
  <r>
    <x v="34"/>
    <n v="10"/>
  </r>
  <r>
    <x v="34"/>
    <n v="300"/>
  </r>
  <r>
    <x v="35"/>
    <n v="50"/>
  </r>
  <r>
    <x v="35"/>
    <n v="150"/>
  </r>
  <r>
    <x v="36"/>
    <n v="106"/>
  </r>
  <r>
    <x v="36"/>
    <n v="80"/>
  </r>
  <r>
    <x v="36"/>
    <n v="107"/>
  </r>
  <r>
    <x v="37"/>
    <n v="80"/>
  </r>
  <r>
    <x v="38"/>
    <n v="211"/>
  </r>
  <r>
    <x v="38"/>
    <n v="40"/>
  </r>
  <r>
    <x v="38"/>
    <n v="30"/>
  </r>
  <r>
    <x v="38"/>
    <n v="354"/>
  </r>
  <r>
    <x v="38"/>
    <n v="500"/>
  </r>
  <r>
    <x v="38"/>
    <n v="500"/>
  </r>
  <r>
    <x v="38"/>
    <n v="60"/>
  </r>
  <r>
    <x v="38"/>
    <n v="388"/>
  </r>
  <r>
    <x v="39"/>
    <n v="20"/>
  </r>
  <r>
    <x v="39"/>
    <n v="10"/>
  </r>
  <r>
    <x v="39"/>
    <n v="42"/>
  </r>
  <r>
    <x v="40"/>
    <n v="125"/>
  </r>
  <r>
    <x v="40"/>
    <n v="150"/>
  </r>
  <r>
    <x v="41"/>
    <n v="15"/>
  </r>
  <r>
    <x v="42"/>
    <n v="214"/>
  </r>
  <r>
    <x v="43"/>
    <n v="535.29999999999995"/>
  </r>
  <r>
    <x v="44"/>
    <n v="106"/>
  </r>
  <r>
    <x v="45"/>
    <n v="641"/>
  </r>
  <r>
    <x v="46"/>
    <n v="135.5"/>
  </r>
  <r>
    <x v="47"/>
    <n v="373"/>
  </r>
  <r>
    <x v="48"/>
    <n v="479"/>
  </r>
  <r>
    <x v="48"/>
    <n v="301.75"/>
  </r>
  <r>
    <x v="49"/>
    <n v="491"/>
  </r>
  <r>
    <x v="49"/>
    <n v="70"/>
  </r>
  <r>
    <x v="49"/>
    <n v="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6">
  <location ref="P19:Q31" firstHeaderRow="1" firstDataRow="1" firstDataCol="1"/>
  <pivotFields count="4"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dataField="1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3"/>
    <field x="0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 t="grand">
      <x/>
    </i>
  </rowItems>
  <colItems count="1">
    <i/>
  </colItems>
  <dataFields count="1">
    <dataField name="StdDev of Amount" fld="2" subtotal="stdDev" baseField="3" baseItem="1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E1:F13" firstHeaderRow="1" firstDataRow="1" firstDataCol="1"/>
  <pivotFields count="3"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2"/>
    <field x="0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7">
  <location ref="D3:K16" firstHeaderRow="1" firstDataRow="2" firstDataCol="1"/>
  <pivotFields count="4"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Col" showAll="0" sortType="descending">
      <items count="7">
        <item x="4"/>
        <item x="0"/>
        <item x="1"/>
        <item x="2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axis="axisRow" showAll="0" defaultSubtotal="0">
      <items count="14">
        <item x="0"/>
        <item sd="0" x="1"/>
        <item sd="0" x="2"/>
        <item sd="0" x="3"/>
        <item sd="0" x="4"/>
        <item sd="0" x="5"/>
        <item sd="0" x="6"/>
        <item sd="0" x="7"/>
        <item sd="0" x="8"/>
        <item x="9"/>
        <item sd="0" x="10"/>
        <item sd="0" x="11"/>
        <item sd="0" x="12"/>
        <item x="13"/>
      </items>
    </pivotField>
  </pivotFields>
  <rowFields count="2">
    <field x="3"/>
    <field x="0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 t="grand">
      <x/>
    </i>
  </rowItems>
  <colFields count="1">
    <field x="1"/>
  </colFields>
  <colItems count="7">
    <i>
      <x v="1"/>
    </i>
    <i>
      <x v="3"/>
    </i>
    <i>
      <x v="5"/>
    </i>
    <i>
      <x v="2"/>
    </i>
    <i>
      <x/>
    </i>
    <i>
      <x v="4"/>
    </i>
    <i t="grand">
      <x/>
    </i>
  </colItems>
  <dataFields count="1">
    <dataField name="Count of Amount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26:H39" firstHeaderRow="1" firstDataRow="2" firstDataCol="1"/>
  <pivotFields count="4"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Col" showAll="0" sortType="descending">
      <items count="7">
        <item x="4"/>
        <item x="0"/>
        <item x="1"/>
        <item x="2"/>
        <item x="5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3"/>
    <field x="0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 t="grand">
      <x/>
    </i>
  </rowItems>
  <colFields count="1">
    <field x="1"/>
  </colFields>
  <colItems count="7">
    <i>
      <x v="1"/>
    </i>
    <i>
      <x v="3"/>
    </i>
    <i>
      <x v="5"/>
    </i>
    <i>
      <x/>
    </i>
    <i>
      <x v="2"/>
    </i>
    <i>
      <x v="4"/>
    </i>
    <i t="grand">
      <x/>
    </i>
  </colItems>
  <dataFields count="1">
    <dataField name="Sum of Amount" fld="2" baseField="0" baseItem="0"/>
  </dataFields>
  <chartFormats count="6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D112" totalsRowCount="1" headerRowDxfId="19" tableBorderDxfId="18">
  <autoFilter ref="A1:D111"/>
  <tableColumns count="4">
    <tableColumn id="1" name="Date" dataDxfId="17" totalsRowDxfId="16"/>
    <tableColumn id="2" name="Date2" dataDxfId="15" totalsRowDxfId="14"/>
    <tableColumn id="3" name="Category" dataDxfId="13" totalsRowDxfId="12"/>
    <tableColumn id="4" name="Amount" totalsRowFunction="custom" dataDxfId="11" totalsRowDxfId="10">
      <totalsRowFormula>SUM(Table1[Amount])</totalsRow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J111" totalsRowShown="0" tableBorderDxfId="9">
  <autoFilter ref="A1:J111"/>
  <tableColumns count="10">
    <tableColumn id="1" name="Date" dataDxfId="8"/>
    <tableColumn id="3" name="Category" dataDxfId="7"/>
    <tableColumn id="4" name="Amount" dataDxfId="6"/>
    <tableColumn id="11" name="numeric data" dataDxfId="5"/>
    <tableColumn id="5" name="Food">
      <calculatedColumnFormula>IF($B2="Food",1,0)</calculatedColumnFormula>
    </tableColumn>
    <tableColumn id="6" name="Transportation" dataDxfId="4">
      <calculatedColumnFormula>IF($B2="Transportation",1,0)</calculatedColumnFormula>
    </tableColumn>
    <tableColumn id="7" name="other" dataDxfId="3">
      <calculatedColumnFormula>IF($B2="Other",1,0)</calculatedColumnFormula>
    </tableColumn>
    <tableColumn id="8" name="Social life " dataDxfId="2">
      <calculatedColumnFormula>IF($B2="Social Life",1,0)</calculatedColumnFormula>
    </tableColumn>
    <tableColumn id="9" name="Apparel" dataDxfId="1">
      <calculatedColumnFormula>IF($B2="Apparel",1,0)</calculatedColumnFormula>
    </tableColumn>
    <tableColumn id="10" name="Household" dataDxfId="0">
      <calculatedColumnFormula>IF($B2="Household",1,0)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1"/>
  <sheetViews>
    <sheetView zoomScale="73" zoomScaleNormal="67" workbookViewId="0">
      <selection activeCell="M78" sqref="M78"/>
    </sheetView>
  </sheetViews>
  <sheetFormatPr defaultRowHeight="14.4" x14ac:dyDescent="0.3"/>
  <cols>
    <col min="1" max="1" width="12.6640625" customWidth="1"/>
    <col min="2" max="2" width="13.109375" customWidth="1"/>
    <col min="3" max="3" width="9" bestFit="1" customWidth="1"/>
    <col min="4" max="5" width="9" customWidth="1"/>
    <col min="6" max="8" width="9" bestFit="1" customWidth="1"/>
    <col min="9" max="11" width="9" customWidth="1"/>
    <col min="16" max="16" width="13.5546875" customWidth="1"/>
    <col min="17" max="17" width="17.109375" customWidth="1"/>
    <col min="19" max="19" width="21.109375" customWidth="1"/>
    <col min="20" max="20" width="11.88671875" bestFit="1" customWidth="1"/>
  </cols>
  <sheetData>
    <row r="1" spans="1:20" x14ac:dyDescent="0.3">
      <c r="A1" s="1" t="s">
        <v>0</v>
      </c>
      <c r="B1" s="2" t="s">
        <v>1</v>
      </c>
      <c r="C1" s="3" t="s">
        <v>2</v>
      </c>
      <c r="D1" s="10"/>
      <c r="E1" s="10"/>
      <c r="F1" s="10" t="s">
        <v>13</v>
      </c>
      <c r="G1" s="10" t="s">
        <v>15</v>
      </c>
      <c r="H1" s="10" t="s">
        <v>16</v>
      </c>
      <c r="I1" s="10" t="s">
        <v>21</v>
      </c>
      <c r="J1" s="10" t="s">
        <v>50</v>
      </c>
      <c r="K1" s="10" t="s">
        <v>51</v>
      </c>
      <c r="P1" s="9" t="s">
        <v>12</v>
      </c>
      <c r="Q1" s="9"/>
    </row>
    <row r="2" spans="1:20" x14ac:dyDescent="0.3">
      <c r="A2" s="4">
        <v>44562</v>
      </c>
      <c r="B2" s="5" t="s">
        <v>3</v>
      </c>
      <c r="C2" s="6">
        <v>85</v>
      </c>
      <c r="D2" s="15"/>
      <c r="E2" s="15"/>
      <c r="F2" s="7">
        <v>176.52136363636365</v>
      </c>
      <c r="G2" s="7">
        <v>129</v>
      </c>
      <c r="H2" s="7">
        <v>200</v>
      </c>
      <c r="I2" s="7">
        <v>633</v>
      </c>
      <c r="J2" s="7">
        <v>20570.253920141775</v>
      </c>
      <c r="K2" s="7">
        <v>143.42333812926603</v>
      </c>
      <c r="P2" s="7"/>
      <c r="Q2" s="7"/>
    </row>
    <row r="3" spans="1:20" x14ac:dyDescent="0.3">
      <c r="A3" s="4">
        <v>44564</v>
      </c>
      <c r="B3" s="5" t="s">
        <v>3</v>
      </c>
      <c r="C3" s="6">
        <v>78</v>
      </c>
      <c r="D3" s="15"/>
      <c r="E3" s="15"/>
      <c r="F3" s="7">
        <v>176.52136363636365</v>
      </c>
      <c r="G3" s="7">
        <v>129</v>
      </c>
      <c r="H3" s="7">
        <v>200</v>
      </c>
      <c r="I3" s="7">
        <v>633</v>
      </c>
      <c r="J3" s="7">
        <v>20570.253920141775</v>
      </c>
      <c r="K3" s="7">
        <v>143.42333812926603</v>
      </c>
      <c r="P3" s="7" t="s">
        <v>13</v>
      </c>
      <c r="Q3" s="7">
        <v>176.52136363636365</v>
      </c>
      <c r="S3" t="s">
        <v>26</v>
      </c>
      <c r="T3" t="e">
        <f>AVERAGE(#REF!)</f>
        <v>#REF!</v>
      </c>
    </row>
    <row r="4" spans="1:20" x14ac:dyDescent="0.3">
      <c r="A4" s="4">
        <v>44564</v>
      </c>
      <c r="B4" s="5" t="s">
        <v>6</v>
      </c>
      <c r="C4" s="6">
        <v>30</v>
      </c>
      <c r="D4" s="15"/>
      <c r="E4" s="15"/>
      <c r="F4" s="7">
        <v>176.52136363636365</v>
      </c>
      <c r="G4" s="7">
        <v>129</v>
      </c>
      <c r="H4" s="7">
        <v>200</v>
      </c>
      <c r="I4" s="7">
        <v>633</v>
      </c>
      <c r="J4" s="7">
        <v>20570.253920141775</v>
      </c>
      <c r="K4" s="7">
        <v>143.42333812926603</v>
      </c>
      <c r="P4" s="7" t="s">
        <v>14</v>
      </c>
      <c r="Q4" s="7">
        <v>13.674878733097607</v>
      </c>
    </row>
    <row r="5" spans="1:20" x14ac:dyDescent="0.3">
      <c r="A5" s="4">
        <v>44564</v>
      </c>
      <c r="B5" s="5" t="s">
        <v>3</v>
      </c>
      <c r="C5" s="6">
        <v>67</v>
      </c>
      <c r="D5" s="15"/>
      <c r="E5" s="15"/>
      <c r="F5" s="7">
        <v>176.52136363636365</v>
      </c>
      <c r="G5" s="7">
        <v>129</v>
      </c>
      <c r="H5" s="7">
        <v>200</v>
      </c>
      <c r="I5" s="7">
        <v>633</v>
      </c>
      <c r="J5" s="7">
        <v>20570.253920141775</v>
      </c>
      <c r="K5" s="7">
        <v>143.42333812926603</v>
      </c>
      <c r="P5" s="7" t="s">
        <v>15</v>
      </c>
      <c r="Q5" s="7">
        <v>129</v>
      </c>
      <c r="S5" t="s">
        <v>27</v>
      </c>
      <c r="T5" t="e">
        <f>AVERAGE(#REF!)</f>
        <v>#REF!</v>
      </c>
    </row>
    <row r="6" spans="1:20" x14ac:dyDescent="0.3">
      <c r="A6" s="4">
        <v>44574</v>
      </c>
      <c r="B6" s="5" t="s">
        <v>3</v>
      </c>
      <c r="C6" s="6">
        <v>66</v>
      </c>
      <c r="D6" s="15"/>
      <c r="E6" s="15"/>
      <c r="F6" s="7">
        <v>176.52136363636365</v>
      </c>
      <c r="G6" s="7">
        <v>129</v>
      </c>
      <c r="H6" s="7">
        <v>200</v>
      </c>
      <c r="I6" s="7">
        <v>633</v>
      </c>
      <c r="J6" s="7">
        <v>20570.253920141775</v>
      </c>
      <c r="K6" s="7">
        <v>143.42333812926603</v>
      </c>
      <c r="P6" s="7" t="s">
        <v>16</v>
      </c>
      <c r="Q6" s="7">
        <v>200</v>
      </c>
    </row>
    <row r="7" spans="1:20" x14ac:dyDescent="0.3">
      <c r="A7" s="4">
        <v>44574</v>
      </c>
      <c r="B7" s="5" t="s">
        <v>6</v>
      </c>
      <c r="C7" s="6">
        <v>43</v>
      </c>
      <c r="D7" s="15"/>
      <c r="E7" s="15"/>
      <c r="F7" s="7">
        <v>176.52136363636365</v>
      </c>
      <c r="G7" s="7">
        <v>129</v>
      </c>
      <c r="H7" s="7">
        <v>200</v>
      </c>
      <c r="I7" s="7">
        <v>633</v>
      </c>
      <c r="J7" s="7">
        <v>20570.253920141775</v>
      </c>
      <c r="K7" s="7">
        <v>143.42333812926603</v>
      </c>
      <c r="P7" s="7" t="s">
        <v>17</v>
      </c>
      <c r="Q7" s="7">
        <v>143.42333812926603</v>
      </c>
      <c r="S7" t="s">
        <v>9</v>
      </c>
      <c r="T7">
        <f>_xlfn.QUARTILE.EXC(C:C,1)</f>
        <v>60</v>
      </c>
    </row>
    <row r="8" spans="1:20" x14ac:dyDescent="0.3">
      <c r="A8" s="4">
        <v>44576</v>
      </c>
      <c r="B8" s="5" t="s">
        <v>3</v>
      </c>
      <c r="C8" s="6">
        <v>70</v>
      </c>
      <c r="D8" s="15"/>
      <c r="E8" s="15"/>
      <c r="F8" s="7">
        <v>176.52136363636365</v>
      </c>
      <c r="G8" s="7">
        <v>129</v>
      </c>
      <c r="H8" s="7">
        <v>200</v>
      </c>
      <c r="I8" s="7">
        <v>633</v>
      </c>
      <c r="J8" s="7">
        <v>20570.253920141775</v>
      </c>
      <c r="K8" s="7">
        <v>143.42333812926603</v>
      </c>
      <c r="P8" s="7" t="s">
        <v>18</v>
      </c>
      <c r="Q8" s="7">
        <v>20570.253920141775</v>
      </c>
      <c r="S8" t="s">
        <v>10</v>
      </c>
      <c r="T8">
        <f>_xlfn.QUARTILE.EXC(C:C,3)</f>
        <v>291.75</v>
      </c>
    </row>
    <row r="9" spans="1:20" x14ac:dyDescent="0.3">
      <c r="A9" s="4">
        <v>44578</v>
      </c>
      <c r="B9" s="5" t="s">
        <v>3</v>
      </c>
      <c r="C9" s="6">
        <v>100</v>
      </c>
      <c r="D9" s="15"/>
      <c r="E9" s="15"/>
      <c r="F9" s="7">
        <v>176.52136363636365</v>
      </c>
      <c r="G9" s="7">
        <v>129</v>
      </c>
      <c r="H9" s="7">
        <v>200</v>
      </c>
      <c r="I9" s="7">
        <v>633</v>
      </c>
      <c r="J9" s="7">
        <v>20570.253920141775</v>
      </c>
      <c r="K9" s="7">
        <v>143.42333812926603</v>
      </c>
      <c r="P9" s="7" t="s">
        <v>19</v>
      </c>
      <c r="Q9" s="7">
        <v>0.31267978626767023</v>
      </c>
      <c r="S9" t="s">
        <v>11</v>
      </c>
      <c r="T9">
        <f>T8-T7</f>
        <v>231.75</v>
      </c>
    </row>
    <row r="10" spans="1:20" x14ac:dyDescent="0.3">
      <c r="A10" s="4">
        <v>44579</v>
      </c>
      <c r="B10" s="5" t="s">
        <v>3</v>
      </c>
      <c r="C10" s="6">
        <v>301.14999999999998</v>
      </c>
      <c r="D10" s="15"/>
      <c r="E10" s="15"/>
      <c r="F10" s="7">
        <v>176.52136363636365</v>
      </c>
      <c r="G10" s="7">
        <v>129</v>
      </c>
      <c r="H10" s="7">
        <v>200</v>
      </c>
      <c r="I10" s="7">
        <v>633</v>
      </c>
      <c r="J10" s="7">
        <v>20570.253920141775</v>
      </c>
      <c r="K10" s="7">
        <v>143.42333812926603</v>
      </c>
      <c r="P10" s="7" t="s">
        <v>20</v>
      </c>
      <c r="Q10" s="7">
        <v>1.0048941972549288</v>
      </c>
    </row>
    <row r="11" spans="1:20" x14ac:dyDescent="0.3">
      <c r="A11" s="4">
        <v>44579</v>
      </c>
      <c r="B11" s="5" t="s">
        <v>3</v>
      </c>
      <c r="C11" s="6">
        <v>59</v>
      </c>
      <c r="D11" s="15"/>
      <c r="E11" s="15"/>
      <c r="F11" s="7">
        <v>176.52136363636365</v>
      </c>
      <c r="G11" s="7">
        <v>129</v>
      </c>
      <c r="H11" s="7">
        <v>200</v>
      </c>
      <c r="I11" s="7">
        <v>633</v>
      </c>
      <c r="J11" s="7">
        <v>20570.253920141775</v>
      </c>
      <c r="K11" s="7">
        <v>143.42333812926603</v>
      </c>
      <c r="P11" s="7" t="s">
        <v>21</v>
      </c>
      <c r="Q11" s="7">
        <v>633</v>
      </c>
    </row>
    <row r="12" spans="1:20" x14ac:dyDescent="0.3">
      <c r="A12" s="4">
        <v>44579</v>
      </c>
      <c r="B12" s="5" t="s">
        <v>3</v>
      </c>
      <c r="C12" s="6">
        <v>148</v>
      </c>
      <c r="D12" s="15"/>
      <c r="E12" s="15"/>
      <c r="F12" s="7">
        <v>176.52136363636365</v>
      </c>
      <c r="G12" s="7">
        <v>129</v>
      </c>
      <c r="H12" s="7">
        <v>200</v>
      </c>
      <c r="I12" s="7">
        <v>633</v>
      </c>
      <c r="J12" s="7">
        <v>20570.253920141775</v>
      </c>
      <c r="K12" s="7">
        <v>143.42333812926603</v>
      </c>
      <c r="P12" s="7" t="s">
        <v>22</v>
      </c>
      <c r="Q12" s="7">
        <v>8</v>
      </c>
    </row>
    <row r="13" spans="1:20" x14ac:dyDescent="0.3">
      <c r="A13" s="4">
        <v>44579</v>
      </c>
      <c r="B13" s="5" t="s">
        <v>5</v>
      </c>
      <c r="C13" s="6">
        <v>200</v>
      </c>
      <c r="D13" s="15"/>
      <c r="E13" s="15"/>
      <c r="F13" s="7">
        <v>176.52136363636365</v>
      </c>
      <c r="G13" s="7">
        <v>129</v>
      </c>
      <c r="H13" s="7">
        <v>200</v>
      </c>
      <c r="I13" s="7">
        <v>633</v>
      </c>
      <c r="J13" s="7">
        <v>20570.253920141775</v>
      </c>
      <c r="K13" s="7">
        <v>143.42333812926603</v>
      </c>
      <c r="P13" s="7" t="s">
        <v>23</v>
      </c>
      <c r="Q13" s="7">
        <v>641</v>
      </c>
    </row>
    <row r="14" spans="1:20" x14ac:dyDescent="0.3">
      <c r="A14" s="4">
        <v>44580</v>
      </c>
      <c r="B14" s="5" t="s">
        <v>3</v>
      </c>
      <c r="C14" s="6">
        <v>171</v>
      </c>
      <c r="D14" s="15"/>
      <c r="E14" s="15"/>
      <c r="F14" s="7">
        <v>176.52136363636365</v>
      </c>
      <c r="G14" s="7">
        <v>129</v>
      </c>
      <c r="H14" s="7">
        <v>200</v>
      </c>
      <c r="I14" s="7">
        <v>633</v>
      </c>
      <c r="J14" s="7">
        <v>20570.253920141775</v>
      </c>
      <c r="K14" s="7">
        <v>143.42333812926603</v>
      </c>
      <c r="P14" s="7" t="s">
        <v>24</v>
      </c>
      <c r="Q14" s="7">
        <v>19417.350000000002</v>
      </c>
    </row>
    <row r="15" spans="1:20" ht="15" thickBot="1" x14ac:dyDescent="0.35">
      <c r="A15" s="4">
        <v>44582</v>
      </c>
      <c r="B15" s="5" t="s">
        <v>3</v>
      </c>
      <c r="C15" s="6">
        <v>188</v>
      </c>
      <c r="D15" s="15"/>
      <c r="E15" s="15"/>
      <c r="F15" s="7">
        <v>176.52136363636365</v>
      </c>
      <c r="G15" s="7">
        <v>129</v>
      </c>
      <c r="H15" s="7">
        <v>200</v>
      </c>
      <c r="I15" s="7">
        <v>633</v>
      </c>
      <c r="J15" s="7">
        <v>20570.253920141775</v>
      </c>
      <c r="K15" s="7">
        <v>143.42333812926603</v>
      </c>
      <c r="P15" s="8" t="s">
        <v>25</v>
      </c>
      <c r="Q15" s="8">
        <v>110</v>
      </c>
    </row>
    <row r="16" spans="1:20" x14ac:dyDescent="0.3">
      <c r="A16" s="4">
        <v>44582</v>
      </c>
      <c r="B16" s="5" t="s">
        <v>3</v>
      </c>
      <c r="C16" s="6">
        <v>37</v>
      </c>
      <c r="D16" s="15"/>
      <c r="E16" s="15"/>
      <c r="F16" s="7">
        <v>176.52136363636365</v>
      </c>
      <c r="G16" s="7">
        <v>129</v>
      </c>
      <c r="H16" s="7">
        <v>200</v>
      </c>
      <c r="I16" s="7">
        <v>633</v>
      </c>
      <c r="J16" s="7">
        <v>20570.253920141775</v>
      </c>
      <c r="K16" s="7">
        <v>143.42333812926603</v>
      </c>
    </row>
    <row r="17" spans="1:17" x14ac:dyDescent="0.3">
      <c r="A17" s="4">
        <v>44584</v>
      </c>
      <c r="B17" s="5" t="s">
        <v>3</v>
      </c>
      <c r="C17" s="6">
        <v>40</v>
      </c>
      <c r="D17" s="15"/>
      <c r="E17" s="15"/>
      <c r="F17" s="7">
        <v>176.52136363636365</v>
      </c>
      <c r="G17" s="7">
        <v>129</v>
      </c>
      <c r="H17" s="7">
        <v>200</v>
      </c>
      <c r="I17" s="7">
        <v>633</v>
      </c>
      <c r="J17" s="7">
        <v>20570.253920141775</v>
      </c>
      <c r="K17" s="7">
        <v>143.42333812926603</v>
      </c>
    </row>
    <row r="18" spans="1:17" x14ac:dyDescent="0.3">
      <c r="A18" s="4">
        <v>44584</v>
      </c>
      <c r="B18" s="5" t="s">
        <v>3</v>
      </c>
      <c r="C18" s="6">
        <v>465</v>
      </c>
      <c r="D18" s="15"/>
      <c r="E18" s="15"/>
      <c r="F18" s="7">
        <v>176.52136363636365</v>
      </c>
      <c r="G18" s="7">
        <v>129</v>
      </c>
      <c r="H18" s="7">
        <v>200</v>
      </c>
      <c r="I18" s="7">
        <v>633</v>
      </c>
      <c r="J18" s="7">
        <v>20570.253920141775</v>
      </c>
      <c r="K18" s="7">
        <v>143.42333812926603</v>
      </c>
    </row>
    <row r="19" spans="1:17" x14ac:dyDescent="0.3">
      <c r="A19" s="4">
        <v>44584</v>
      </c>
      <c r="B19" s="5" t="s">
        <v>3</v>
      </c>
      <c r="C19" s="6">
        <v>300</v>
      </c>
      <c r="D19" s="15"/>
      <c r="E19" s="15"/>
      <c r="F19" s="7">
        <v>176.52136363636365</v>
      </c>
      <c r="G19" s="7">
        <v>129</v>
      </c>
      <c r="H19" s="7">
        <v>200</v>
      </c>
      <c r="I19" s="7">
        <v>633</v>
      </c>
      <c r="J19" s="7">
        <v>20570.253920141775</v>
      </c>
      <c r="K19" s="7">
        <v>143.42333812926603</v>
      </c>
      <c r="P19" s="11" t="s">
        <v>28</v>
      </c>
      <c r="Q19" t="s">
        <v>52</v>
      </c>
    </row>
    <row r="20" spans="1:17" x14ac:dyDescent="0.3">
      <c r="A20" s="4">
        <v>44584</v>
      </c>
      <c r="B20" s="5" t="s">
        <v>3</v>
      </c>
      <c r="C20" s="6">
        <v>302</v>
      </c>
      <c r="D20" s="15"/>
      <c r="E20" s="15"/>
      <c r="F20" s="7">
        <v>176.52136363636365</v>
      </c>
      <c r="G20" s="7">
        <v>129</v>
      </c>
      <c r="H20" s="7">
        <v>200</v>
      </c>
      <c r="I20" s="7">
        <v>633</v>
      </c>
      <c r="J20" s="7">
        <v>20570.253920141775</v>
      </c>
      <c r="K20" s="7">
        <v>143.42333812926603</v>
      </c>
      <c r="P20" s="12" t="s">
        <v>32</v>
      </c>
      <c r="Q20" s="13">
        <v>105.06822661029052</v>
      </c>
    </row>
    <row r="21" spans="1:17" x14ac:dyDescent="0.3">
      <c r="A21" s="4">
        <v>44584</v>
      </c>
      <c r="B21" s="5" t="s">
        <v>3</v>
      </c>
      <c r="C21" s="6">
        <v>176</v>
      </c>
      <c r="D21" s="15"/>
      <c r="E21" s="15"/>
      <c r="F21" s="7">
        <v>176.52136363636365</v>
      </c>
      <c r="G21" s="7">
        <v>129</v>
      </c>
      <c r="H21" s="7">
        <v>200</v>
      </c>
      <c r="I21" s="7">
        <v>633</v>
      </c>
      <c r="J21" s="7">
        <v>20570.253920141775</v>
      </c>
      <c r="K21" s="7">
        <v>143.42333812926603</v>
      </c>
      <c r="P21" s="12" t="s">
        <v>33</v>
      </c>
      <c r="Q21" s="13">
        <v>129.74596774874669</v>
      </c>
    </row>
    <row r="22" spans="1:17" x14ac:dyDescent="0.3">
      <c r="A22" s="4">
        <v>44584</v>
      </c>
      <c r="B22" s="5" t="s">
        <v>8</v>
      </c>
      <c r="C22" s="6">
        <v>200</v>
      </c>
      <c r="D22" s="15"/>
      <c r="E22" s="15"/>
      <c r="F22" s="7">
        <v>176.52136363636365</v>
      </c>
      <c r="G22" s="7">
        <v>129</v>
      </c>
      <c r="H22" s="7">
        <v>200</v>
      </c>
      <c r="I22" s="7">
        <v>633</v>
      </c>
      <c r="J22" s="7">
        <v>20570.253920141775</v>
      </c>
      <c r="K22" s="7">
        <v>143.42333812926603</v>
      </c>
      <c r="P22" s="12" t="s">
        <v>34</v>
      </c>
      <c r="Q22" s="13">
        <v>129.19623317522328</v>
      </c>
    </row>
    <row r="23" spans="1:17" x14ac:dyDescent="0.3">
      <c r="A23" s="4">
        <v>44585</v>
      </c>
      <c r="B23" s="5" t="s">
        <v>3</v>
      </c>
      <c r="C23" s="6">
        <v>40</v>
      </c>
      <c r="D23" s="15"/>
      <c r="E23" s="15"/>
      <c r="F23" s="7">
        <v>176.52136363636365</v>
      </c>
      <c r="G23" s="7">
        <v>129</v>
      </c>
      <c r="H23" s="7">
        <v>200</v>
      </c>
      <c r="I23" s="7">
        <v>633</v>
      </c>
      <c r="J23" s="7">
        <v>20570.253920141775</v>
      </c>
      <c r="K23" s="7">
        <v>143.42333812926603</v>
      </c>
      <c r="P23" s="12" t="s">
        <v>35</v>
      </c>
      <c r="Q23" s="13">
        <v>15.305227865013967</v>
      </c>
    </row>
    <row r="24" spans="1:17" x14ac:dyDescent="0.3">
      <c r="A24" s="4">
        <v>44585</v>
      </c>
      <c r="B24" s="5" t="s">
        <v>3</v>
      </c>
      <c r="C24" s="6">
        <v>133</v>
      </c>
      <c r="D24" s="15"/>
      <c r="E24" s="15"/>
      <c r="F24" s="7">
        <v>176.52136363636365</v>
      </c>
      <c r="G24" s="7">
        <v>129</v>
      </c>
      <c r="H24" s="7">
        <v>200</v>
      </c>
      <c r="I24" s="7">
        <v>633</v>
      </c>
      <c r="J24" s="7">
        <v>20570.253920141775</v>
      </c>
      <c r="K24" s="7">
        <v>143.42333812926603</v>
      </c>
      <c r="P24" s="12" t="s">
        <v>36</v>
      </c>
      <c r="Q24" s="13">
        <v>201.46601095824718</v>
      </c>
    </row>
    <row r="25" spans="1:17" x14ac:dyDescent="0.3">
      <c r="A25" s="4">
        <v>44586</v>
      </c>
      <c r="B25" s="5" t="s">
        <v>3</v>
      </c>
      <c r="C25" s="6">
        <v>259</v>
      </c>
      <c r="D25" s="15"/>
      <c r="E25" s="15"/>
      <c r="F25" s="7">
        <v>176.52136363636365</v>
      </c>
      <c r="G25" s="7">
        <v>129</v>
      </c>
      <c r="H25" s="7">
        <v>200</v>
      </c>
      <c r="I25" s="7">
        <v>633</v>
      </c>
      <c r="J25" s="7">
        <v>20570.253920141775</v>
      </c>
      <c r="K25" s="7">
        <v>143.42333812926603</v>
      </c>
      <c r="P25" s="12" t="s">
        <v>37</v>
      </c>
      <c r="Q25" s="13">
        <v>63.849823805551729</v>
      </c>
    </row>
    <row r="26" spans="1:17" x14ac:dyDescent="0.3">
      <c r="A26" s="4">
        <v>44586</v>
      </c>
      <c r="B26" s="5" t="s">
        <v>3</v>
      </c>
      <c r="C26" s="6">
        <v>18</v>
      </c>
      <c r="D26" s="15"/>
      <c r="E26" s="15"/>
      <c r="F26" s="7">
        <v>176.52136363636365</v>
      </c>
      <c r="G26" s="7">
        <v>129</v>
      </c>
      <c r="H26" s="7">
        <v>200</v>
      </c>
      <c r="I26" s="7">
        <v>633</v>
      </c>
      <c r="J26" s="7">
        <v>20570.253920141775</v>
      </c>
      <c r="K26" s="7">
        <v>143.42333812926603</v>
      </c>
      <c r="P26" s="12" t="s">
        <v>38</v>
      </c>
      <c r="Q26" s="13">
        <v>140.71424945612296</v>
      </c>
    </row>
    <row r="27" spans="1:17" x14ac:dyDescent="0.3">
      <c r="A27" s="4">
        <v>44586</v>
      </c>
      <c r="B27" s="5" t="s">
        <v>6</v>
      </c>
      <c r="C27" s="6">
        <v>325</v>
      </c>
      <c r="D27" s="15"/>
      <c r="E27" s="15"/>
      <c r="F27" s="7">
        <v>176.52136363636365</v>
      </c>
      <c r="G27" s="7">
        <v>129</v>
      </c>
      <c r="H27" s="7">
        <v>200</v>
      </c>
      <c r="I27" s="7">
        <v>633</v>
      </c>
      <c r="J27" s="7">
        <v>20570.253920141775</v>
      </c>
      <c r="K27" s="7">
        <v>143.42333812926603</v>
      </c>
      <c r="M27" s="7"/>
      <c r="P27" s="12" t="s">
        <v>39</v>
      </c>
      <c r="Q27" s="13" t="e">
        <v>#DIV/0!</v>
      </c>
    </row>
    <row r="28" spans="1:17" x14ac:dyDescent="0.3">
      <c r="A28" s="4">
        <v>44587</v>
      </c>
      <c r="B28" s="5" t="s">
        <v>3</v>
      </c>
      <c r="C28" s="6">
        <v>115</v>
      </c>
      <c r="D28" s="15"/>
      <c r="E28" s="15"/>
      <c r="F28" s="7">
        <v>176.52136363636365</v>
      </c>
      <c r="G28" s="7">
        <v>129</v>
      </c>
      <c r="H28" s="7">
        <v>200</v>
      </c>
      <c r="I28" s="7">
        <v>633</v>
      </c>
      <c r="J28" s="7">
        <v>20570.253920141775</v>
      </c>
      <c r="K28" s="7">
        <v>143.42333812926603</v>
      </c>
      <c r="P28" s="12" t="s">
        <v>40</v>
      </c>
      <c r="Q28" s="13">
        <v>378.30212793480291</v>
      </c>
    </row>
    <row r="29" spans="1:17" x14ac:dyDescent="0.3">
      <c r="A29" s="4">
        <v>44587</v>
      </c>
      <c r="B29" s="5" t="s">
        <v>3</v>
      </c>
      <c r="C29" s="6">
        <v>25</v>
      </c>
      <c r="D29" s="15"/>
      <c r="E29" s="15"/>
      <c r="F29" s="7">
        <v>176.52136363636365</v>
      </c>
      <c r="G29" s="7">
        <v>129</v>
      </c>
      <c r="H29" s="7">
        <v>200</v>
      </c>
      <c r="I29" s="7">
        <v>633</v>
      </c>
      <c r="J29" s="7">
        <v>20570.253920141775</v>
      </c>
      <c r="K29" s="7">
        <v>143.42333812926603</v>
      </c>
      <c r="P29" s="12" t="s">
        <v>41</v>
      </c>
      <c r="Q29" s="13">
        <v>167.93786053180503</v>
      </c>
    </row>
    <row r="30" spans="1:17" x14ac:dyDescent="0.3">
      <c r="A30" s="4">
        <v>44588</v>
      </c>
      <c r="B30" s="5" t="s">
        <v>6</v>
      </c>
      <c r="C30" s="6">
        <v>43</v>
      </c>
      <c r="D30" s="15"/>
      <c r="E30" s="15"/>
      <c r="F30" s="7">
        <v>176.52136363636365</v>
      </c>
      <c r="G30" s="7">
        <v>129</v>
      </c>
      <c r="H30" s="7">
        <v>200</v>
      </c>
      <c r="I30" s="7">
        <v>633</v>
      </c>
      <c r="J30" s="7">
        <v>20570.253920141775</v>
      </c>
      <c r="K30" s="7">
        <v>143.42333812926603</v>
      </c>
      <c r="P30" s="12" t="s">
        <v>42</v>
      </c>
      <c r="Q30" s="13">
        <v>205.30492565937138</v>
      </c>
    </row>
    <row r="31" spans="1:17" x14ac:dyDescent="0.3">
      <c r="A31" s="4">
        <v>44588</v>
      </c>
      <c r="B31" s="5" t="s">
        <v>5</v>
      </c>
      <c r="C31" s="6">
        <v>300</v>
      </c>
      <c r="D31" s="15"/>
      <c r="E31" s="15"/>
      <c r="F31" s="7">
        <v>176.52136363636365</v>
      </c>
      <c r="G31" s="7">
        <v>129</v>
      </c>
      <c r="H31" s="7">
        <v>200</v>
      </c>
      <c r="I31" s="7">
        <v>633</v>
      </c>
      <c r="J31" s="7">
        <v>20570.253920141775</v>
      </c>
      <c r="K31" s="7">
        <v>143.42333812926603</v>
      </c>
      <c r="P31" s="12" t="s">
        <v>29</v>
      </c>
      <c r="Q31" s="13">
        <v>143.42333812926609</v>
      </c>
    </row>
    <row r="32" spans="1:17" x14ac:dyDescent="0.3">
      <c r="A32" s="4">
        <v>44588</v>
      </c>
      <c r="B32" s="5" t="s">
        <v>5</v>
      </c>
      <c r="C32" s="6">
        <v>100</v>
      </c>
      <c r="D32" s="15"/>
      <c r="E32" s="15"/>
      <c r="F32" s="7">
        <v>176.52136363636365</v>
      </c>
      <c r="G32" s="7">
        <v>129</v>
      </c>
      <c r="H32" s="7">
        <v>200</v>
      </c>
      <c r="I32" s="7">
        <v>633</v>
      </c>
      <c r="J32" s="7">
        <v>20570.253920141775</v>
      </c>
      <c r="K32" s="7">
        <v>143.42333812926603</v>
      </c>
    </row>
    <row r="33" spans="1:11" x14ac:dyDescent="0.3">
      <c r="A33" s="4">
        <v>44588</v>
      </c>
      <c r="B33" s="5" t="s">
        <v>3</v>
      </c>
      <c r="C33" s="6">
        <v>279</v>
      </c>
      <c r="D33" s="15"/>
      <c r="E33" s="15"/>
      <c r="F33" s="7">
        <v>176.52136363636365</v>
      </c>
      <c r="G33" s="7">
        <v>129</v>
      </c>
      <c r="H33" s="7">
        <v>200</v>
      </c>
      <c r="I33" s="7">
        <v>633</v>
      </c>
      <c r="J33" s="7">
        <v>20570.253920141775</v>
      </c>
      <c r="K33" s="7">
        <v>143.42333812926603</v>
      </c>
    </row>
    <row r="34" spans="1:11" x14ac:dyDescent="0.3">
      <c r="A34" s="4">
        <v>44589</v>
      </c>
      <c r="B34" s="5" t="s">
        <v>3</v>
      </c>
      <c r="C34" s="6">
        <v>10</v>
      </c>
      <c r="D34" s="15"/>
      <c r="E34" s="15"/>
      <c r="F34" s="7">
        <v>176.52136363636365</v>
      </c>
      <c r="G34" s="7">
        <v>129</v>
      </c>
      <c r="H34" s="7">
        <v>200</v>
      </c>
      <c r="I34" s="7">
        <v>633</v>
      </c>
      <c r="J34" s="7">
        <v>20570.253920141775</v>
      </c>
      <c r="K34" s="7">
        <v>143.42333812926603</v>
      </c>
    </row>
    <row r="35" spans="1:11" x14ac:dyDescent="0.3">
      <c r="A35" s="4">
        <v>44589</v>
      </c>
      <c r="B35" s="5" t="s">
        <v>3</v>
      </c>
      <c r="C35" s="6">
        <v>138</v>
      </c>
      <c r="D35" s="15"/>
      <c r="E35" s="15"/>
      <c r="F35" s="7">
        <v>176.52136363636365</v>
      </c>
      <c r="G35" s="7">
        <v>129</v>
      </c>
      <c r="H35" s="7">
        <v>200</v>
      </c>
      <c r="I35" s="7">
        <v>633</v>
      </c>
      <c r="J35" s="7">
        <v>20570.253920141775</v>
      </c>
      <c r="K35" s="7">
        <v>143.42333812926603</v>
      </c>
    </row>
    <row r="36" spans="1:11" x14ac:dyDescent="0.3">
      <c r="A36" s="4">
        <v>44590</v>
      </c>
      <c r="B36" s="5" t="s">
        <v>6</v>
      </c>
      <c r="C36" s="6">
        <v>44</v>
      </c>
      <c r="D36" s="15"/>
      <c r="E36" s="15"/>
      <c r="F36" s="7">
        <v>176.52136363636365</v>
      </c>
      <c r="G36" s="7">
        <v>129</v>
      </c>
      <c r="H36" s="7">
        <v>200</v>
      </c>
      <c r="I36" s="7">
        <v>633</v>
      </c>
      <c r="J36" s="7">
        <v>20570.253920141775</v>
      </c>
      <c r="K36" s="7">
        <v>143.42333812926603</v>
      </c>
    </row>
    <row r="37" spans="1:11" x14ac:dyDescent="0.3">
      <c r="A37" s="4">
        <v>44590</v>
      </c>
      <c r="B37" s="5" t="s">
        <v>5</v>
      </c>
      <c r="C37" s="6">
        <v>100</v>
      </c>
      <c r="D37" s="15"/>
      <c r="E37" s="15"/>
      <c r="F37" s="7">
        <v>176.52136363636365</v>
      </c>
      <c r="G37" s="7">
        <v>129</v>
      </c>
      <c r="H37" s="7">
        <v>200</v>
      </c>
      <c r="I37" s="7">
        <v>633</v>
      </c>
      <c r="J37" s="7">
        <v>20570.253920141775</v>
      </c>
      <c r="K37" s="7">
        <v>143.42333812926603</v>
      </c>
    </row>
    <row r="38" spans="1:11" x14ac:dyDescent="0.3">
      <c r="A38" s="4">
        <v>44591</v>
      </c>
      <c r="B38" s="5" t="s">
        <v>3</v>
      </c>
      <c r="C38" s="6">
        <v>155</v>
      </c>
      <c r="D38" s="15"/>
      <c r="E38" s="15"/>
      <c r="F38" s="7">
        <v>176.52136363636365</v>
      </c>
      <c r="G38" s="7">
        <v>129</v>
      </c>
      <c r="H38" s="7">
        <v>200</v>
      </c>
      <c r="I38" s="7">
        <v>633</v>
      </c>
      <c r="J38" s="7">
        <v>20570.253920141775</v>
      </c>
      <c r="K38" s="7">
        <v>143.42333812926603</v>
      </c>
    </row>
    <row r="39" spans="1:11" x14ac:dyDescent="0.3">
      <c r="A39" s="4">
        <v>44591</v>
      </c>
      <c r="B39" s="5" t="s">
        <v>3</v>
      </c>
      <c r="C39" s="6">
        <v>120</v>
      </c>
      <c r="D39" s="15"/>
      <c r="E39" s="15"/>
      <c r="F39" s="7">
        <v>176.52136363636365</v>
      </c>
      <c r="G39" s="7">
        <v>129</v>
      </c>
      <c r="H39" s="7">
        <v>200</v>
      </c>
      <c r="I39" s="7">
        <v>633</v>
      </c>
      <c r="J39" s="7">
        <v>20570.253920141775</v>
      </c>
      <c r="K39" s="7">
        <v>143.42333812926603</v>
      </c>
    </row>
    <row r="40" spans="1:11" x14ac:dyDescent="0.3">
      <c r="A40" s="4">
        <v>44591</v>
      </c>
      <c r="B40" s="5" t="s">
        <v>3</v>
      </c>
      <c r="C40" s="6">
        <v>105</v>
      </c>
      <c r="D40" s="15"/>
      <c r="E40" s="15"/>
      <c r="F40" s="7">
        <v>176.52136363636365</v>
      </c>
      <c r="G40" s="7">
        <v>129</v>
      </c>
      <c r="H40" s="7">
        <v>200</v>
      </c>
      <c r="I40" s="7">
        <v>633</v>
      </c>
      <c r="J40" s="7">
        <v>20570.253920141775</v>
      </c>
      <c r="K40" s="7">
        <v>143.42333812926603</v>
      </c>
    </row>
    <row r="41" spans="1:11" x14ac:dyDescent="0.3">
      <c r="A41" s="4">
        <v>44592</v>
      </c>
      <c r="B41" s="5" t="s">
        <v>6</v>
      </c>
      <c r="C41" s="6">
        <v>50</v>
      </c>
      <c r="D41" s="15"/>
      <c r="E41" s="15"/>
      <c r="F41" s="7">
        <v>176.52136363636365</v>
      </c>
      <c r="G41" s="7">
        <v>129</v>
      </c>
      <c r="H41" s="7">
        <v>200</v>
      </c>
      <c r="I41" s="7">
        <v>633</v>
      </c>
      <c r="J41" s="7">
        <v>20570.253920141775</v>
      </c>
      <c r="K41" s="7">
        <v>143.42333812926603</v>
      </c>
    </row>
    <row r="42" spans="1:11" x14ac:dyDescent="0.3">
      <c r="A42" s="4">
        <v>44592</v>
      </c>
      <c r="B42" s="5" t="s">
        <v>5</v>
      </c>
      <c r="C42" s="6">
        <v>200</v>
      </c>
      <c r="D42" s="15"/>
      <c r="E42" s="15"/>
      <c r="F42" s="7">
        <v>176.52136363636365</v>
      </c>
      <c r="G42" s="7">
        <v>129</v>
      </c>
      <c r="H42" s="7">
        <v>200</v>
      </c>
      <c r="I42" s="7">
        <v>633</v>
      </c>
      <c r="J42" s="7">
        <v>20570.253920141775</v>
      </c>
      <c r="K42" s="7">
        <v>143.42333812926603</v>
      </c>
    </row>
    <row r="43" spans="1:11" x14ac:dyDescent="0.3">
      <c r="A43" s="4">
        <v>44592</v>
      </c>
      <c r="B43" s="5" t="s">
        <v>6</v>
      </c>
      <c r="C43" s="6">
        <v>153</v>
      </c>
      <c r="D43" s="15"/>
      <c r="E43" s="15"/>
      <c r="F43" s="7">
        <v>176.52136363636365</v>
      </c>
      <c r="G43" s="7">
        <v>129</v>
      </c>
      <c r="H43" s="7">
        <v>200</v>
      </c>
      <c r="I43" s="7">
        <v>633</v>
      </c>
      <c r="J43" s="7">
        <v>20570.253920141775</v>
      </c>
      <c r="K43" s="7">
        <v>143.42333812926603</v>
      </c>
    </row>
    <row r="44" spans="1:11" x14ac:dyDescent="0.3">
      <c r="A44" s="4">
        <v>44593</v>
      </c>
      <c r="B44" s="5" t="s">
        <v>5</v>
      </c>
      <c r="C44" s="6">
        <v>8</v>
      </c>
      <c r="D44" s="15"/>
      <c r="E44" s="15"/>
      <c r="F44" s="7">
        <v>176.52136363636365</v>
      </c>
      <c r="G44" s="7">
        <v>129</v>
      </c>
      <c r="H44" s="7">
        <v>200</v>
      </c>
      <c r="I44" s="7">
        <v>633</v>
      </c>
      <c r="J44" s="7">
        <v>20570.253920141775</v>
      </c>
      <c r="K44" s="7">
        <v>143.42333812926603</v>
      </c>
    </row>
    <row r="45" spans="1:11" x14ac:dyDescent="0.3">
      <c r="A45" s="4">
        <v>44593</v>
      </c>
      <c r="B45" s="5" t="s">
        <v>3</v>
      </c>
      <c r="C45" s="6">
        <v>200</v>
      </c>
      <c r="D45" s="15"/>
      <c r="E45" s="15"/>
      <c r="F45" s="7">
        <v>176.52136363636365</v>
      </c>
      <c r="G45" s="7">
        <v>129</v>
      </c>
      <c r="H45" s="7">
        <v>200</v>
      </c>
      <c r="I45" s="7">
        <v>633</v>
      </c>
      <c r="J45" s="7">
        <v>20570.253920141775</v>
      </c>
      <c r="K45" s="7">
        <v>143.42333812926603</v>
      </c>
    </row>
    <row r="46" spans="1:11" x14ac:dyDescent="0.3">
      <c r="A46" s="4">
        <v>44594</v>
      </c>
      <c r="B46" s="5" t="s">
        <v>3</v>
      </c>
      <c r="C46" s="6">
        <v>120</v>
      </c>
      <c r="D46" s="15"/>
      <c r="E46" s="15"/>
      <c r="F46" s="7">
        <v>176.52136363636365</v>
      </c>
      <c r="G46" s="7">
        <v>129</v>
      </c>
      <c r="H46" s="7">
        <v>200</v>
      </c>
      <c r="I46" s="7">
        <v>633</v>
      </c>
      <c r="J46" s="7">
        <v>20570.253920141775</v>
      </c>
      <c r="K46" s="7">
        <v>143.42333812926603</v>
      </c>
    </row>
    <row r="47" spans="1:11" x14ac:dyDescent="0.3">
      <c r="A47" s="4">
        <v>44595</v>
      </c>
      <c r="B47" s="5" t="s">
        <v>3</v>
      </c>
      <c r="C47" s="6">
        <v>50</v>
      </c>
      <c r="D47" s="15"/>
      <c r="E47" s="15"/>
      <c r="F47" s="7">
        <v>176.52136363636365</v>
      </c>
      <c r="G47" s="7">
        <v>129</v>
      </c>
      <c r="H47" s="7">
        <v>200</v>
      </c>
      <c r="I47" s="7">
        <v>633</v>
      </c>
      <c r="J47" s="7">
        <v>20570.253920141775</v>
      </c>
      <c r="K47" s="7">
        <v>143.42333812926603</v>
      </c>
    </row>
    <row r="48" spans="1:11" x14ac:dyDescent="0.3">
      <c r="A48" s="4">
        <v>44595</v>
      </c>
      <c r="B48" s="5" t="s">
        <v>5</v>
      </c>
      <c r="C48" s="6">
        <v>300</v>
      </c>
      <c r="D48" s="15"/>
      <c r="E48" s="15"/>
      <c r="F48" s="7">
        <v>176.52136363636365</v>
      </c>
      <c r="G48" s="7">
        <v>129</v>
      </c>
      <c r="H48" s="7">
        <v>200</v>
      </c>
      <c r="I48" s="7">
        <v>633</v>
      </c>
      <c r="J48" s="7">
        <v>20570.253920141775</v>
      </c>
      <c r="K48" s="7">
        <v>143.42333812926603</v>
      </c>
    </row>
    <row r="49" spans="1:11" x14ac:dyDescent="0.3">
      <c r="A49" s="4">
        <v>44605</v>
      </c>
      <c r="B49" s="5" t="s">
        <v>8</v>
      </c>
      <c r="C49" s="6">
        <v>100</v>
      </c>
      <c r="D49" s="15"/>
      <c r="E49" s="15"/>
      <c r="F49" s="7">
        <v>176.52136363636365</v>
      </c>
      <c r="G49" s="7">
        <v>129</v>
      </c>
      <c r="H49" s="7">
        <v>200</v>
      </c>
      <c r="I49" s="7">
        <v>633</v>
      </c>
      <c r="J49" s="7">
        <v>20570.253920141775</v>
      </c>
      <c r="K49" s="7">
        <v>143.42333812926603</v>
      </c>
    </row>
    <row r="50" spans="1:11" x14ac:dyDescent="0.3">
      <c r="A50" s="4">
        <v>44608</v>
      </c>
      <c r="B50" s="5" t="s">
        <v>3</v>
      </c>
      <c r="C50" s="6">
        <v>165</v>
      </c>
      <c r="D50" s="15"/>
      <c r="E50" s="15"/>
      <c r="F50" s="7">
        <v>176.52136363636365</v>
      </c>
      <c r="G50" s="7">
        <v>129</v>
      </c>
      <c r="H50" s="7">
        <v>200</v>
      </c>
      <c r="I50" s="7">
        <v>633</v>
      </c>
      <c r="J50" s="7">
        <v>20570.253920141775</v>
      </c>
      <c r="K50" s="7">
        <v>143.42333812926603</v>
      </c>
    </row>
    <row r="51" spans="1:11" x14ac:dyDescent="0.3">
      <c r="A51" s="4">
        <v>44608</v>
      </c>
      <c r="B51" s="5" t="s">
        <v>3</v>
      </c>
      <c r="C51" s="6">
        <v>475</v>
      </c>
      <c r="D51" s="15"/>
      <c r="E51" s="15"/>
      <c r="F51" s="7">
        <v>176.52136363636365</v>
      </c>
      <c r="G51" s="7">
        <v>129</v>
      </c>
      <c r="H51" s="7">
        <v>200</v>
      </c>
      <c r="I51" s="7">
        <v>633</v>
      </c>
      <c r="J51" s="7">
        <v>20570.253920141775</v>
      </c>
      <c r="K51" s="7">
        <v>143.42333812926603</v>
      </c>
    </row>
    <row r="52" spans="1:11" x14ac:dyDescent="0.3">
      <c r="A52" s="4">
        <v>44609</v>
      </c>
      <c r="B52" s="5" t="s">
        <v>3</v>
      </c>
      <c r="C52" s="6">
        <v>80</v>
      </c>
      <c r="D52" s="15"/>
      <c r="E52" s="15"/>
      <c r="F52" s="7">
        <v>176.52136363636365</v>
      </c>
      <c r="G52" s="7">
        <v>129</v>
      </c>
      <c r="H52" s="7">
        <v>200</v>
      </c>
      <c r="I52" s="7">
        <v>633</v>
      </c>
      <c r="J52" s="7">
        <v>20570.253920141775</v>
      </c>
      <c r="K52" s="7">
        <v>143.42333812926603</v>
      </c>
    </row>
    <row r="53" spans="1:11" x14ac:dyDescent="0.3">
      <c r="A53" s="4">
        <v>44610</v>
      </c>
      <c r="B53" s="5" t="s">
        <v>3</v>
      </c>
      <c r="C53" s="6">
        <v>348</v>
      </c>
      <c r="D53" s="15"/>
      <c r="E53" s="15"/>
      <c r="F53" s="7">
        <v>176.52136363636365</v>
      </c>
      <c r="G53" s="7">
        <v>129</v>
      </c>
      <c r="H53" s="7">
        <v>200</v>
      </c>
      <c r="I53" s="7">
        <v>633</v>
      </c>
      <c r="J53" s="7">
        <v>20570.253920141775</v>
      </c>
      <c r="K53" s="7">
        <v>143.42333812926603</v>
      </c>
    </row>
    <row r="54" spans="1:11" x14ac:dyDescent="0.3">
      <c r="A54" s="4">
        <v>44611</v>
      </c>
      <c r="B54" s="5" t="s">
        <v>3</v>
      </c>
      <c r="C54" s="6">
        <v>111</v>
      </c>
      <c r="D54" s="15"/>
      <c r="E54" s="15"/>
      <c r="F54" s="7">
        <v>176.52136363636365</v>
      </c>
      <c r="G54" s="7">
        <v>129</v>
      </c>
      <c r="H54" s="7">
        <v>200</v>
      </c>
      <c r="I54" s="7">
        <v>633</v>
      </c>
      <c r="J54" s="7">
        <v>20570.253920141775</v>
      </c>
      <c r="K54" s="7">
        <v>143.42333812926603</v>
      </c>
    </row>
    <row r="55" spans="1:11" x14ac:dyDescent="0.3">
      <c r="A55" s="4">
        <v>44611</v>
      </c>
      <c r="B55" s="5" t="s">
        <v>3</v>
      </c>
      <c r="C55" s="6">
        <v>250</v>
      </c>
      <c r="D55" s="15"/>
      <c r="E55" s="15"/>
      <c r="F55" s="7">
        <v>176.52136363636365</v>
      </c>
      <c r="G55" s="7">
        <v>129</v>
      </c>
      <c r="H55" s="7">
        <v>200</v>
      </c>
      <c r="I55" s="7">
        <v>633</v>
      </c>
      <c r="J55" s="7">
        <v>20570.253920141775</v>
      </c>
      <c r="K55" s="7">
        <v>143.42333812926603</v>
      </c>
    </row>
    <row r="56" spans="1:11" x14ac:dyDescent="0.3">
      <c r="A56" s="4">
        <v>44611</v>
      </c>
      <c r="B56" s="5" t="s">
        <v>6</v>
      </c>
      <c r="C56" s="6">
        <v>200</v>
      </c>
      <c r="D56" s="15"/>
      <c r="E56" s="15"/>
      <c r="F56" s="7">
        <v>176.52136363636365</v>
      </c>
      <c r="G56" s="7">
        <v>129</v>
      </c>
      <c r="H56" s="7">
        <v>200</v>
      </c>
      <c r="I56" s="7">
        <v>633</v>
      </c>
      <c r="J56" s="7">
        <v>20570.253920141775</v>
      </c>
      <c r="K56" s="7">
        <v>143.42333812926603</v>
      </c>
    </row>
    <row r="57" spans="1:11" x14ac:dyDescent="0.3">
      <c r="A57" s="4">
        <v>44611</v>
      </c>
      <c r="B57" s="5" t="s">
        <v>3</v>
      </c>
      <c r="C57" s="6">
        <v>380</v>
      </c>
      <c r="D57" s="15"/>
      <c r="E57" s="15"/>
      <c r="F57" s="7">
        <v>176.52136363636365</v>
      </c>
      <c r="G57" s="7">
        <v>129</v>
      </c>
      <c r="H57" s="7">
        <v>200</v>
      </c>
      <c r="I57" s="7">
        <v>633</v>
      </c>
      <c r="J57" s="7">
        <v>20570.253920141775</v>
      </c>
      <c r="K57" s="7">
        <v>143.42333812926603</v>
      </c>
    </row>
    <row r="58" spans="1:11" x14ac:dyDescent="0.3">
      <c r="A58" s="4">
        <v>44611</v>
      </c>
      <c r="B58" s="5" t="s">
        <v>6</v>
      </c>
      <c r="C58" s="6">
        <v>60</v>
      </c>
      <c r="D58" s="15"/>
      <c r="E58" s="15"/>
      <c r="F58" s="7">
        <v>176.52136363636365</v>
      </c>
      <c r="G58" s="7">
        <v>129</v>
      </c>
      <c r="H58" s="7">
        <v>200</v>
      </c>
      <c r="I58" s="7">
        <v>633</v>
      </c>
      <c r="J58" s="7">
        <v>20570.253920141775</v>
      </c>
      <c r="K58" s="7">
        <v>143.42333812926603</v>
      </c>
    </row>
    <row r="59" spans="1:11" x14ac:dyDescent="0.3">
      <c r="A59" s="4">
        <v>44611</v>
      </c>
      <c r="B59" s="5" t="s">
        <v>5</v>
      </c>
      <c r="C59" s="6">
        <v>50</v>
      </c>
      <c r="D59" s="15"/>
      <c r="E59" s="15"/>
      <c r="F59" s="7">
        <v>176.52136363636365</v>
      </c>
      <c r="G59" s="7">
        <v>129</v>
      </c>
      <c r="H59" s="7">
        <v>200</v>
      </c>
      <c r="I59" s="7">
        <v>633</v>
      </c>
      <c r="J59" s="7">
        <v>20570.253920141775</v>
      </c>
      <c r="K59" s="7">
        <v>143.42333812926603</v>
      </c>
    </row>
    <row r="60" spans="1:11" x14ac:dyDescent="0.3">
      <c r="A60" s="4">
        <v>44611</v>
      </c>
      <c r="B60" s="5" t="s">
        <v>6</v>
      </c>
      <c r="C60" s="6">
        <v>270</v>
      </c>
      <c r="D60" s="15"/>
      <c r="E60" s="15"/>
      <c r="F60" s="7">
        <v>176.52136363636365</v>
      </c>
      <c r="G60" s="7">
        <v>129</v>
      </c>
      <c r="H60" s="7">
        <v>200</v>
      </c>
      <c r="I60" s="7">
        <v>633</v>
      </c>
      <c r="J60" s="7">
        <v>20570.253920141775</v>
      </c>
      <c r="K60" s="7">
        <v>143.42333812926603</v>
      </c>
    </row>
    <row r="61" spans="1:11" x14ac:dyDescent="0.3">
      <c r="A61" s="4">
        <v>44612</v>
      </c>
      <c r="B61" s="5" t="s">
        <v>3</v>
      </c>
      <c r="C61" s="6">
        <v>200</v>
      </c>
      <c r="D61" s="15"/>
      <c r="E61" s="15"/>
      <c r="F61" s="7">
        <v>176.52136363636365</v>
      </c>
      <c r="G61" s="7">
        <v>129</v>
      </c>
      <c r="H61" s="7">
        <v>200</v>
      </c>
      <c r="I61" s="7">
        <v>633</v>
      </c>
      <c r="J61" s="7">
        <v>20570.253920141775</v>
      </c>
      <c r="K61" s="7">
        <v>143.42333812926603</v>
      </c>
    </row>
    <row r="62" spans="1:11" x14ac:dyDescent="0.3">
      <c r="A62" s="4">
        <v>44613</v>
      </c>
      <c r="B62" s="5" t="s">
        <v>6</v>
      </c>
      <c r="C62" s="6">
        <v>138</v>
      </c>
      <c r="D62" s="15"/>
      <c r="E62" s="15"/>
      <c r="F62" s="7">
        <v>176.52136363636365</v>
      </c>
      <c r="G62" s="7">
        <v>129</v>
      </c>
      <c r="H62" s="7">
        <v>200</v>
      </c>
      <c r="I62" s="7">
        <v>633</v>
      </c>
      <c r="J62" s="7">
        <v>20570.253920141775</v>
      </c>
      <c r="K62" s="7">
        <v>143.42333812926603</v>
      </c>
    </row>
    <row r="63" spans="1:11" x14ac:dyDescent="0.3">
      <c r="A63" s="4">
        <v>44613</v>
      </c>
      <c r="B63" s="5" t="s">
        <v>4</v>
      </c>
      <c r="C63" s="6">
        <v>336</v>
      </c>
      <c r="D63" s="15"/>
      <c r="E63" s="15"/>
      <c r="F63" s="7">
        <v>176.52136363636365</v>
      </c>
      <c r="G63" s="7">
        <v>129</v>
      </c>
      <c r="H63" s="7">
        <v>200</v>
      </c>
      <c r="I63" s="7">
        <v>633</v>
      </c>
      <c r="J63" s="7">
        <v>20570.253920141775</v>
      </c>
      <c r="K63" s="7">
        <v>143.42333812926603</v>
      </c>
    </row>
    <row r="64" spans="1:11" x14ac:dyDescent="0.3">
      <c r="A64" s="4">
        <v>44613</v>
      </c>
      <c r="B64" s="5" t="s">
        <v>6</v>
      </c>
      <c r="C64" s="6">
        <v>201.8</v>
      </c>
      <c r="D64" s="15"/>
      <c r="E64" s="15"/>
      <c r="F64" s="7">
        <v>176.52136363636365</v>
      </c>
      <c r="G64" s="7">
        <v>129</v>
      </c>
      <c r="H64" s="7">
        <v>200</v>
      </c>
      <c r="I64" s="7">
        <v>633</v>
      </c>
      <c r="J64" s="7">
        <v>20570.253920141775</v>
      </c>
      <c r="K64" s="7">
        <v>143.42333812926603</v>
      </c>
    </row>
    <row r="65" spans="1:11" x14ac:dyDescent="0.3">
      <c r="A65" s="4">
        <v>44614</v>
      </c>
      <c r="B65" s="5" t="s">
        <v>6</v>
      </c>
      <c r="C65" s="6">
        <v>120</v>
      </c>
      <c r="D65" s="15"/>
      <c r="E65" s="15"/>
      <c r="F65" s="7">
        <v>176.52136363636365</v>
      </c>
      <c r="G65" s="7">
        <v>129</v>
      </c>
      <c r="H65" s="7">
        <v>200</v>
      </c>
      <c r="I65" s="7">
        <v>633</v>
      </c>
      <c r="J65" s="7">
        <v>20570.253920141775</v>
      </c>
      <c r="K65" s="7">
        <v>143.42333812926603</v>
      </c>
    </row>
    <row r="66" spans="1:11" x14ac:dyDescent="0.3">
      <c r="A66" s="4">
        <v>44615</v>
      </c>
      <c r="B66" s="5" t="s">
        <v>7</v>
      </c>
      <c r="C66" s="6">
        <v>399</v>
      </c>
      <c r="D66" s="15"/>
      <c r="E66" s="15"/>
      <c r="F66" s="7">
        <v>176.52136363636365</v>
      </c>
      <c r="G66" s="7">
        <v>129</v>
      </c>
      <c r="H66" s="7">
        <v>200</v>
      </c>
      <c r="I66" s="7">
        <v>633</v>
      </c>
      <c r="J66" s="7">
        <v>20570.253920141775</v>
      </c>
      <c r="K66" s="7">
        <v>143.42333812926603</v>
      </c>
    </row>
    <row r="67" spans="1:11" x14ac:dyDescent="0.3">
      <c r="A67" s="4">
        <v>44615</v>
      </c>
      <c r="B67" s="5" t="s">
        <v>3</v>
      </c>
      <c r="C67" s="6">
        <v>83</v>
      </c>
      <c r="D67" s="15"/>
      <c r="E67" s="15"/>
      <c r="F67" s="7">
        <v>176.52136363636365</v>
      </c>
      <c r="G67" s="7">
        <v>129</v>
      </c>
      <c r="H67" s="7">
        <v>200</v>
      </c>
      <c r="I67" s="7">
        <v>633</v>
      </c>
      <c r="J67" s="7">
        <v>20570.253920141775</v>
      </c>
      <c r="K67" s="7">
        <v>143.42333812926603</v>
      </c>
    </row>
    <row r="68" spans="1:11" x14ac:dyDescent="0.3">
      <c r="A68" s="4">
        <v>44615</v>
      </c>
      <c r="B68" s="5" t="s">
        <v>7</v>
      </c>
      <c r="C68" s="6">
        <v>399</v>
      </c>
      <c r="D68" s="15"/>
      <c r="E68" s="15"/>
      <c r="F68" s="7">
        <v>176.52136363636365</v>
      </c>
      <c r="G68" s="7">
        <v>129</v>
      </c>
      <c r="H68" s="7">
        <v>200</v>
      </c>
      <c r="I68" s="7">
        <v>633</v>
      </c>
      <c r="J68" s="7">
        <v>20570.253920141775</v>
      </c>
      <c r="K68" s="7">
        <v>143.42333812926603</v>
      </c>
    </row>
    <row r="69" spans="1:11" x14ac:dyDescent="0.3">
      <c r="A69" s="4">
        <v>44616</v>
      </c>
      <c r="B69" s="5" t="s">
        <v>4</v>
      </c>
      <c r="C69" s="6">
        <v>303</v>
      </c>
      <c r="D69" s="15"/>
      <c r="E69" s="15"/>
      <c r="F69" s="7">
        <v>176.52136363636365</v>
      </c>
      <c r="G69" s="7">
        <v>129</v>
      </c>
      <c r="H69" s="7">
        <v>200</v>
      </c>
      <c r="I69" s="7">
        <v>633</v>
      </c>
      <c r="J69" s="7">
        <v>20570.253920141775</v>
      </c>
      <c r="K69" s="7">
        <v>143.42333812926603</v>
      </c>
    </row>
    <row r="70" spans="1:11" x14ac:dyDescent="0.3">
      <c r="A70" s="4">
        <v>44616</v>
      </c>
      <c r="B70" s="5" t="s">
        <v>3</v>
      </c>
      <c r="C70" s="6">
        <v>289</v>
      </c>
      <c r="D70" s="15"/>
      <c r="E70" s="15"/>
      <c r="F70" s="7">
        <v>176.52136363636365</v>
      </c>
      <c r="G70" s="7">
        <v>129</v>
      </c>
      <c r="H70" s="7">
        <v>200</v>
      </c>
      <c r="I70" s="7">
        <v>633</v>
      </c>
      <c r="J70" s="7">
        <v>20570.253920141775</v>
      </c>
      <c r="K70" s="7">
        <v>143.42333812926603</v>
      </c>
    </row>
    <row r="71" spans="1:11" x14ac:dyDescent="0.3">
      <c r="A71" s="4">
        <v>44616</v>
      </c>
      <c r="B71" s="5" t="s">
        <v>3</v>
      </c>
      <c r="C71" s="6">
        <v>324.7</v>
      </c>
      <c r="D71" s="15"/>
      <c r="E71" s="15"/>
      <c r="F71" s="7">
        <v>176.52136363636365</v>
      </c>
      <c r="G71" s="7">
        <v>129</v>
      </c>
      <c r="H71" s="7">
        <v>200</v>
      </c>
      <c r="I71" s="7">
        <v>633</v>
      </c>
      <c r="J71" s="7">
        <v>20570.253920141775</v>
      </c>
      <c r="K71" s="7">
        <v>143.42333812926603</v>
      </c>
    </row>
    <row r="72" spans="1:11" x14ac:dyDescent="0.3">
      <c r="A72" s="4">
        <v>44617</v>
      </c>
      <c r="B72" s="5" t="s">
        <v>3</v>
      </c>
      <c r="C72" s="6">
        <v>33</v>
      </c>
      <c r="D72" s="15"/>
      <c r="E72" s="15"/>
      <c r="F72" s="7">
        <v>176.52136363636365</v>
      </c>
      <c r="G72" s="7">
        <v>129</v>
      </c>
      <c r="H72" s="7">
        <v>200</v>
      </c>
      <c r="I72" s="7">
        <v>633</v>
      </c>
      <c r="J72" s="7">
        <v>20570.253920141775</v>
      </c>
      <c r="K72" s="7">
        <v>143.42333812926603</v>
      </c>
    </row>
    <row r="73" spans="1:11" x14ac:dyDescent="0.3">
      <c r="A73" s="4">
        <v>44618</v>
      </c>
      <c r="B73" s="5" t="s">
        <v>3</v>
      </c>
      <c r="C73" s="6">
        <v>25</v>
      </c>
      <c r="D73" s="15"/>
      <c r="E73" s="15"/>
      <c r="F73" s="7">
        <v>176.52136363636365</v>
      </c>
      <c r="G73" s="7">
        <v>129</v>
      </c>
      <c r="H73" s="7">
        <v>200</v>
      </c>
      <c r="I73" s="7">
        <v>633</v>
      </c>
      <c r="J73" s="7">
        <v>20570.253920141775</v>
      </c>
      <c r="K73" s="7">
        <v>143.42333812926603</v>
      </c>
    </row>
    <row r="74" spans="1:11" x14ac:dyDescent="0.3">
      <c r="A74" s="4">
        <v>44618</v>
      </c>
      <c r="B74" s="5" t="s">
        <v>5</v>
      </c>
      <c r="C74" s="6">
        <v>100</v>
      </c>
      <c r="D74" s="15"/>
      <c r="E74" s="15"/>
      <c r="F74" s="7">
        <v>176.52136363636365</v>
      </c>
      <c r="G74" s="7">
        <v>129</v>
      </c>
      <c r="H74" s="7">
        <v>200</v>
      </c>
      <c r="I74" s="7">
        <v>633</v>
      </c>
      <c r="J74" s="7">
        <v>20570.253920141775</v>
      </c>
      <c r="K74" s="7">
        <v>143.42333812926603</v>
      </c>
    </row>
    <row r="75" spans="1:11" x14ac:dyDescent="0.3">
      <c r="A75" s="4">
        <v>44618</v>
      </c>
      <c r="B75" s="5" t="s">
        <v>3</v>
      </c>
      <c r="C75" s="6">
        <v>40</v>
      </c>
      <c r="D75" s="15"/>
      <c r="E75" s="15"/>
      <c r="F75" s="7">
        <v>176.52136363636365</v>
      </c>
      <c r="G75" s="7">
        <v>129</v>
      </c>
      <c r="H75" s="7">
        <v>200</v>
      </c>
      <c r="I75" s="7">
        <v>633</v>
      </c>
      <c r="J75" s="7">
        <v>20570.253920141775</v>
      </c>
      <c r="K75" s="7">
        <v>143.42333812926603</v>
      </c>
    </row>
    <row r="76" spans="1:11" x14ac:dyDescent="0.3">
      <c r="A76" s="4">
        <v>44618</v>
      </c>
      <c r="B76" s="5" t="s">
        <v>3</v>
      </c>
      <c r="C76" s="6">
        <v>84</v>
      </c>
      <c r="D76" s="15"/>
      <c r="E76" s="15"/>
      <c r="F76" s="7">
        <v>176.52136363636365</v>
      </c>
      <c r="G76" s="7">
        <v>129</v>
      </c>
      <c r="H76" s="7">
        <v>200</v>
      </c>
      <c r="I76" s="7">
        <v>633</v>
      </c>
      <c r="J76" s="7">
        <v>20570.253920141775</v>
      </c>
      <c r="K76" s="7">
        <v>143.42333812926603</v>
      </c>
    </row>
    <row r="77" spans="1:11" x14ac:dyDescent="0.3">
      <c r="A77" s="4">
        <v>44619</v>
      </c>
      <c r="B77" s="5" t="s">
        <v>3</v>
      </c>
      <c r="C77" s="6">
        <v>243</v>
      </c>
      <c r="D77" s="15"/>
      <c r="E77" s="15"/>
      <c r="F77" s="7">
        <v>176.52136363636365</v>
      </c>
      <c r="G77" s="7">
        <v>129</v>
      </c>
      <c r="H77" s="7">
        <v>200</v>
      </c>
      <c r="I77" s="7">
        <v>633</v>
      </c>
      <c r="J77" s="7">
        <v>20570.253920141775</v>
      </c>
      <c r="K77" s="7">
        <v>143.42333812926603</v>
      </c>
    </row>
    <row r="78" spans="1:11" x14ac:dyDescent="0.3">
      <c r="A78" s="4">
        <v>44620</v>
      </c>
      <c r="B78" s="5" t="s">
        <v>3</v>
      </c>
      <c r="C78" s="6">
        <v>339.15</v>
      </c>
      <c r="D78" s="15"/>
      <c r="E78" s="15"/>
      <c r="F78" s="7">
        <v>176.52136363636365</v>
      </c>
      <c r="G78" s="7">
        <v>129</v>
      </c>
      <c r="H78" s="7">
        <v>200</v>
      </c>
      <c r="I78" s="7">
        <v>633</v>
      </c>
      <c r="J78" s="7">
        <v>20570.253920141775</v>
      </c>
      <c r="K78" s="7">
        <v>143.42333812926603</v>
      </c>
    </row>
    <row r="79" spans="1:11" x14ac:dyDescent="0.3">
      <c r="A79" s="4">
        <v>44621</v>
      </c>
      <c r="B79" s="5" t="s">
        <v>3</v>
      </c>
      <c r="C79" s="6">
        <v>10</v>
      </c>
      <c r="D79" s="15"/>
      <c r="E79" s="15"/>
      <c r="F79" s="7">
        <v>176.52136363636365</v>
      </c>
      <c r="G79" s="7">
        <v>129</v>
      </c>
      <c r="H79" s="7">
        <v>200</v>
      </c>
      <c r="I79" s="7">
        <v>633</v>
      </c>
      <c r="J79" s="7">
        <v>20570.253920141775</v>
      </c>
      <c r="K79" s="7">
        <v>143.42333812926603</v>
      </c>
    </row>
    <row r="80" spans="1:11" x14ac:dyDescent="0.3">
      <c r="A80" s="4">
        <v>44621</v>
      </c>
      <c r="B80" s="5" t="s">
        <v>3</v>
      </c>
      <c r="C80" s="6">
        <v>300</v>
      </c>
      <c r="D80" s="15"/>
      <c r="E80" s="15"/>
      <c r="F80" s="7">
        <v>176.52136363636365</v>
      </c>
      <c r="G80" s="7">
        <v>129</v>
      </c>
      <c r="H80" s="7">
        <v>200</v>
      </c>
      <c r="I80" s="7">
        <v>633</v>
      </c>
      <c r="J80" s="7">
        <v>20570.253920141775</v>
      </c>
      <c r="K80" s="7">
        <v>143.42333812926603</v>
      </c>
    </row>
    <row r="81" spans="1:11" x14ac:dyDescent="0.3">
      <c r="A81" s="4">
        <v>44622</v>
      </c>
      <c r="B81" s="5" t="s">
        <v>3</v>
      </c>
      <c r="C81" s="6">
        <v>50</v>
      </c>
      <c r="D81" s="15"/>
      <c r="E81" s="15"/>
      <c r="F81" s="7">
        <v>176.52136363636365</v>
      </c>
      <c r="G81" s="7">
        <v>129</v>
      </c>
      <c r="H81" s="7">
        <v>200</v>
      </c>
      <c r="I81" s="7">
        <v>633</v>
      </c>
      <c r="J81" s="7">
        <v>20570.253920141775</v>
      </c>
      <c r="K81" s="7">
        <v>143.42333812926603</v>
      </c>
    </row>
    <row r="82" spans="1:11" x14ac:dyDescent="0.3">
      <c r="A82" s="4">
        <v>44622</v>
      </c>
      <c r="B82" s="5" t="s">
        <v>5</v>
      </c>
      <c r="C82" s="6">
        <v>150</v>
      </c>
      <c r="D82" s="15"/>
      <c r="E82" s="15"/>
      <c r="F82" s="7">
        <v>176.52136363636365</v>
      </c>
      <c r="G82" s="7">
        <v>129</v>
      </c>
      <c r="H82" s="7">
        <v>200</v>
      </c>
      <c r="I82" s="7">
        <v>633</v>
      </c>
      <c r="J82" s="7">
        <v>20570.253920141775</v>
      </c>
      <c r="K82" s="7">
        <v>143.42333812926603</v>
      </c>
    </row>
    <row r="83" spans="1:11" x14ac:dyDescent="0.3">
      <c r="A83" s="4">
        <v>44652</v>
      </c>
      <c r="B83" s="5" t="s">
        <v>3</v>
      </c>
      <c r="C83" s="6">
        <v>106</v>
      </c>
      <c r="D83" s="15"/>
      <c r="E83" s="15"/>
      <c r="F83" s="7">
        <v>176.52136363636365</v>
      </c>
      <c r="G83" s="7">
        <v>129</v>
      </c>
      <c r="H83" s="7">
        <v>200</v>
      </c>
      <c r="I83" s="7">
        <v>633</v>
      </c>
      <c r="J83" s="7">
        <v>20570.253920141775</v>
      </c>
      <c r="K83" s="7">
        <v>143.42333812926603</v>
      </c>
    </row>
    <row r="84" spans="1:11" x14ac:dyDescent="0.3">
      <c r="A84" s="4">
        <v>44652</v>
      </c>
      <c r="B84" s="5" t="s">
        <v>5</v>
      </c>
      <c r="C84" s="6">
        <v>80</v>
      </c>
      <c r="D84" s="15"/>
      <c r="E84" s="15"/>
      <c r="F84" s="7">
        <v>176.52136363636365</v>
      </c>
      <c r="G84" s="7">
        <v>129</v>
      </c>
      <c r="H84" s="7">
        <v>200</v>
      </c>
      <c r="I84" s="7">
        <v>633</v>
      </c>
      <c r="J84" s="7">
        <v>20570.253920141775</v>
      </c>
      <c r="K84" s="7">
        <v>143.42333812926603</v>
      </c>
    </row>
    <row r="85" spans="1:11" x14ac:dyDescent="0.3">
      <c r="A85" s="4">
        <v>44652</v>
      </c>
      <c r="B85" s="5" t="s">
        <v>3</v>
      </c>
      <c r="C85" s="6">
        <v>107</v>
      </c>
      <c r="D85" s="15"/>
      <c r="E85" s="15"/>
      <c r="F85" s="7">
        <v>176.52136363636365</v>
      </c>
      <c r="G85" s="7">
        <v>129</v>
      </c>
      <c r="H85" s="7">
        <v>200</v>
      </c>
      <c r="I85" s="7">
        <v>633</v>
      </c>
      <c r="J85" s="7">
        <v>20570.253920141775</v>
      </c>
      <c r="K85" s="7">
        <v>143.42333812926603</v>
      </c>
    </row>
    <row r="86" spans="1:11" x14ac:dyDescent="0.3">
      <c r="A86" s="4">
        <v>44653</v>
      </c>
      <c r="B86" s="5" t="s">
        <v>3</v>
      </c>
      <c r="C86" s="6">
        <v>80</v>
      </c>
      <c r="D86" s="15"/>
      <c r="E86" s="15"/>
      <c r="F86" s="7">
        <v>176.52136363636365</v>
      </c>
      <c r="G86" s="7">
        <v>129</v>
      </c>
      <c r="H86" s="7">
        <v>200</v>
      </c>
      <c r="I86" s="7">
        <v>633</v>
      </c>
      <c r="J86" s="7">
        <v>20570.253920141775</v>
      </c>
      <c r="K86" s="7">
        <v>143.42333812926603</v>
      </c>
    </row>
    <row r="87" spans="1:11" x14ac:dyDescent="0.3">
      <c r="A87" s="4">
        <v>44682</v>
      </c>
      <c r="B87" s="5" t="s">
        <v>3</v>
      </c>
      <c r="C87" s="6">
        <v>211</v>
      </c>
      <c r="D87" s="15"/>
      <c r="E87" s="15"/>
      <c r="F87" s="7">
        <v>176.52136363636365</v>
      </c>
      <c r="G87" s="7">
        <v>129</v>
      </c>
      <c r="H87" s="7">
        <v>200</v>
      </c>
      <c r="I87" s="7">
        <v>633</v>
      </c>
      <c r="J87" s="7">
        <v>20570.253920141775</v>
      </c>
      <c r="K87" s="7">
        <v>143.42333812926603</v>
      </c>
    </row>
    <row r="88" spans="1:11" x14ac:dyDescent="0.3">
      <c r="A88" s="4">
        <v>44682</v>
      </c>
      <c r="B88" s="5" t="s">
        <v>5</v>
      </c>
      <c r="C88" s="6">
        <v>40</v>
      </c>
      <c r="D88" s="15"/>
      <c r="E88" s="15"/>
      <c r="F88" s="7">
        <v>176.52136363636365</v>
      </c>
      <c r="G88" s="7">
        <v>129</v>
      </c>
      <c r="H88" s="7">
        <v>200</v>
      </c>
      <c r="I88" s="7">
        <v>633</v>
      </c>
      <c r="J88" s="7">
        <v>20570.253920141775</v>
      </c>
      <c r="K88" s="7">
        <v>143.42333812926603</v>
      </c>
    </row>
    <row r="89" spans="1:11" x14ac:dyDescent="0.3">
      <c r="A89" s="4">
        <v>44682</v>
      </c>
      <c r="B89" s="5" t="s">
        <v>5</v>
      </c>
      <c r="C89" s="6">
        <v>30</v>
      </c>
      <c r="D89" s="15"/>
      <c r="E89" s="15"/>
      <c r="F89" s="7">
        <v>176.52136363636365</v>
      </c>
      <c r="G89" s="7">
        <v>129</v>
      </c>
      <c r="H89" s="7">
        <v>200</v>
      </c>
      <c r="I89" s="7">
        <v>633</v>
      </c>
      <c r="J89" s="7">
        <v>20570.253920141775</v>
      </c>
      <c r="K89" s="7">
        <v>143.42333812926603</v>
      </c>
    </row>
    <row r="90" spans="1:11" x14ac:dyDescent="0.3">
      <c r="A90" s="4">
        <v>44682</v>
      </c>
      <c r="B90" s="5" t="s">
        <v>3</v>
      </c>
      <c r="C90" s="6">
        <v>354</v>
      </c>
      <c r="D90" s="15"/>
      <c r="E90" s="15"/>
      <c r="F90" s="7">
        <v>176.52136363636365</v>
      </c>
      <c r="G90" s="7">
        <v>129</v>
      </c>
      <c r="H90" s="7">
        <v>200</v>
      </c>
      <c r="I90" s="7">
        <v>633</v>
      </c>
      <c r="J90" s="7">
        <v>20570.253920141775</v>
      </c>
      <c r="K90" s="7">
        <v>143.42333812926603</v>
      </c>
    </row>
    <row r="91" spans="1:11" x14ac:dyDescent="0.3">
      <c r="A91" s="4">
        <v>44682</v>
      </c>
      <c r="B91" s="5" t="s">
        <v>5</v>
      </c>
      <c r="C91" s="6">
        <v>500</v>
      </c>
      <c r="D91" s="15"/>
      <c r="E91" s="15"/>
      <c r="F91" s="7">
        <v>176.52136363636365</v>
      </c>
      <c r="G91" s="7">
        <v>129</v>
      </c>
      <c r="H91" s="7">
        <v>200</v>
      </c>
      <c r="I91" s="7">
        <v>633</v>
      </c>
      <c r="J91" s="7">
        <v>20570.253920141775</v>
      </c>
      <c r="K91" s="7">
        <v>143.42333812926603</v>
      </c>
    </row>
    <row r="92" spans="1:11" x14ac:dyDescent="0.3">
      <c r="A92" s="4">
        <v>44682</v>
      </c>
      <c r="B92" s="5" t="s">
        <v>5</v>
      </c>
      <c r="C92" s="6">
        <v>500</v>
      </c>
      <c r="D92" s="15"/>
      <c r="E92" s="15"/>
      <c r="F92" s="7">
        <v>176.52136363636365</v>
      </c>
      <c r="G92" s="7">
        <v>129</v>
      </c>
      <c r="H92" s="7">
        <v>200</v>
      </c>
      <c r="I92" s="7">
        <v>633</v>
      </c>
      <c r="J92" s="7">
        <v>20570.253920141775</v>
      </c>
      <c r="K92" s="7">
        <v>143.42333812926603</v>
      </c>
    </row>
    <row r="93" spans="1:11" x14ac:dyDescent="0.3">
      <c r="A93" s="4">
        <v>44682</v>
      </c>
      <c r="B93" s="5" t="s">
        <v>6</v>
      </c>
      <c r="C93" s="6">
        <v>60</v>
      </c>
      <c r="D93" s="15"/>
      <c r="E93" s="15"/>
      <c r="F93" s="7">
        <v>176.52136363636365</v>
      </c>
      <c r="G93" s="7">
        <v>129</v>
      </c>
      <c r="H93" s="7">
        <v>200</v>
      </c>
      <c r="I93" s="7">
        <v>633</v>
      </c>
      <c r="J93" s="7">
        <v>20570.253920141775</v>
      </c>
      <c r="K93" s="7">
        <v>143.42333812926603</v>
      </c>
    </row>
    <row r="94" spans="1:11" x14ac:dyDescent="0.3">
      <c r="A94" s="4">
        <v>44682</v>
      </c>
      <c r="B94" s="5" t="s">
        <v>3</v>
      </c>
      <c r="C94" s="6">
        <v>388</v>
      </c>
      <c r="D94" s="15"/>
      <c r="E94" s="15"/>
      <c r="F94" s="7">
        <v>176.52136363636365</v>
      </c>
      <c r="G94" s="7">
        <v>129</v>
      </c>
      <c r="H94" s="7">
        <v>200</v>
      </c>
      <c r="I94" s="7">
        <v>633</v>
      </c>
      <c r="J94" s="7">
        <v>20570.253920141775</v>
      </c>
      <c r="K94" s="7">
        <v>143.42333812926603</v>
      </c>
    </row>
    <row r="95" spans="1:11" x14ac:dyDescent="0.3">
      <c r="A95" s="4">
        <v>44713</v>
      </c>
      <c r="B95" s="5" t="s">
        <v>3</v>
      </c>
      <c r="C95" s="6">
        <v>20</v>
      </c>
      <c r="D95" s="15"/>
      <c r="E95" s="15"/>
      <c r="F95" s="7">
        <v>176.52136363636365</v>
      </c>
      <c r="G95" s="7">
        <v>129</v>
      </c>
      <c r="H95" s="7">
        <v>200</v>
      </c>
      <c r="I95" s="7">
        <v>633</v>
      </c>
      <c r="J95" s="7">
        <v>20570.253920141775</v>
      </c>
      <c r="K95" s="7">
        <v>143.42333812926603</v>
      </c>
    </row>
    <row r="96" spans="1:11" x14ac:dyDescent="0.3">
      <c r="A96" s="4">
        <v>44713</v>
      </c>
      <c r="B96" s="5" t="s">
        <v>3</v>
      </c>
      <c r="C96" s="6">
        <v>10</v>
      </c>
      <c r="D96" s="15"/>
      <c r="E96" s="15"/>
      <c r="F96" s="7">
        <v>176.52136363636365</v>
      </c>
      <c r="G96" s="7">
        <v>129</v>
      </c>
      <c r="H96" s="7">
        <v>200</v>
      </c>
      <c r="I96" s="7">
        <v>633</v>
      </c>
      <c r="J96" s="7">
        <v>20570.253920141775</v>
      </c>
      <c r="K96" s="7">
        <v>143.42333812926603</v>
      </c>
    </row>
    <row r="97" spans="1:11" x14ac:dyDescent="0.3">
      <c r="A97" s="4">
        <v>44713</v>
      </c>
      <c r="B97" s="5" t="s">
        <v>6</v>
      </c>
      <c r="C97" s="6">
        <v>42</v>
      </c>
      <c r="D97" s="15"/>
      <c r="E97" s="15"/>
      <c r="F97" s="7">
        <v>176.52136363636365</v>
      </c>
      <c r="G97" s="7">
        <v>129</v>
      </c>
      <c r="H97" s="7">
        <v>200</v>
      </c>
      <c r="I97" s="7">
        <v>633</v>
      </c>
      <c r="J97" s="7">
        <v>20570.253920141775</v>
      </c>
      <c r="K97" s="7">
        <v>143.42333812926603</v>
      </c>
    </row>
    <row r="98" spans="1:11" x14ac:dyDescent="0.3">
      <c r="A98" s="4">
        <v>44714</v>
      </c>
      <c r="B98" s="5" t="s">
        <v>3</v>
      </c>
      <c r="C98" s="6">
        <v>125</v>
      </c>
      <c r="D98" s="15"/>
      <c r="E98" s="15"/>
      <c r="F98" s="7">
        <v>176.52136363636365</v>
      </c>
      <c r="G98" s="7">
        <v>129</v>
      </c>
      <c r="H98" s="7">
        <v>200</v>
      </c>
      <c r="I98" s="7">
        <v>633</v>
      </c>
      <c r="J98" s="7">
        <v>20570.253920141775</v>
      </c>
      <c r="K98" s="7">
        <v>143.42333812926603</v>
      </c>
    </row>
    <row r="99" spans="1:11" x14ac:dyDescent="0.3">
      <c r="A99" s="4">
        <v>44714</v>
      </c>
      <c r="B99" s="5" t="s">
        <v>3</v>
      </c>
      <c r="C99" s="6">
        <v>150</v>
      </c>
      <c r="D99" s="15"/>
      <c r="E99" s="15"/>
      <c r="F99" s="7">
        <v>176.52136363636365</v>
      </c>
      <c r="G99" s="7">
        <v>129</v>
      </c>
      <c r="H99" s="7">
        <v>200</v>
      </c>
      <c r="I99" s="7">
        <v>633</v>
      </c>
      <c r="J99" s="7">
        <v>20570.253920141775</v>
      </c>
      <c r="K99" s="7">
        <v>143.42333812926603</v>
      </c>
    </row>
    <row r="100" spans="1:11" x14ac:dyDescent="0.3">
      <c r="A100" s="4">
        <v>44743</v>
      </c>
      <c r="B100" s="5" t="s">
        <v>3</v>
      </c>
      <c r="C100" s="6">
        <v>15</v>
      </c>
      <c r="D100" s="15"/>
      <c r="E100" s="15"/>
      <c r="F100" s="7">
        <v>176.52136363636365</v>
      </c>
      <c r="G100" s="7">
        <v>129</v>
      </c>
      <c r="H100" s="7">
        <v>200</v>
      </c>
      <c r="I100" s="7">
        <v>633</v>
      </c>
      <c r="J100" s="7">
        <v>20570.253920141775</v>
      </c>
      <c r="K100" s="7">
        <v>143.42333812926603</v>
      </c>
    </row>
    <row r="101" spans="1:11" x14ac:dyDescent="0.3">
      <c r="A101" s="4">
        <v>44744</v>
      </c>
      <c r="B101" s="5" t="s">
        <v>6</v>
      </c>
      <c r="C101" s="6">
        <v>214</v>
      </c>
      <c r="D101" s="15"/>
      <c r="E101" s="15"/>
      <c r="F101" s="7">
        <v>176.52136363636365</v>
      </c>
      <c r="G101" s="7">
        <v>129</v>
      </c>
      <c r="H101" s="7">
        <v>200</v>
      </c>
      <c r="I101" s="7">
        <v>633</v>
      </c>
      <c r="J101" s="7">
        <v>20570.253920141775</v>
      </c>
      <c r="K101" s="7">
        <v>143.42333812926603</v>
      </c>
    </row>
    <row r="102" spans="1:11" x14ac:dyDescent="0.3">
      <c r="A102" s="4">
        <v>44774</v>
      </c>
      <c r="B102" s="5" t="s">
        <v>3</v>
      </c>
      <c r="C102" s="6">
        <v>535.29999999999995</v>
      </c>
      <c r="D102" s="15"/>
      <c r="E102" s="15"/>
      <c r="F102" s="7">
        <v>176.52136363636365</v>
      </c>
      <c r="G102" s="7">
        <v>129</v>
      </c>
      <c r="H102" s="7">
        <v>200</v>
      </c>
      <c r="I102" s="7">
        <v>633</v>
      </c>
      <c r="J102" s="7">
        <v>20570.253920141775</v>
      </c>
      <c r="K102" s="7">
        <v>143.42333812926603</v>
      </c>
    </row>
    <row r="103" spans="1:11" x14ac:dyDescent="0.3">
      <c r="A103" s="4">
        <v>44835</v>
      </c>
      <c r="B103" s="5" t="s">
        <v>3</v>
      </c>
      <c r="C103" s="6">
        <v>106</v>
      </c>
      <c r="D103" s="15"/>
      <c r="E103" s="15"/>
      <c r="F103" s="7">
        <v>176.52136363636365</v>
      </c>
      <c r="G103" s="7">
        <v>129</v>
      </c>
      <c r="H103" s="7">
        <v>200</v>
      </c>
      <c r="I103" s="7">
        <v>633</v>
      </c>
      <c r="J103" s="7">
        <v>20570.253920141775</v>
      </c>
      <c r="K103" s="7">
        <v>143.42333812926603</v>
      </c>
    </row>
    <row r="104" spans="1:11" x14ac:dyDescent="0.3">
      <c r="A104" s="4">
        <v>44836</v>
      </c>
      <c r="B104" s="5" t="s">
        <v>3</v>
      </c>
      <c r="C104" s="6">
        <v>641</v>
      </c>
      <c r="D104" s="15"/>
      <c r="E104" s="15"/>
      <c r="F104" s="7">
        <v>176.52136363636365</v>
      </c>
      <c r="G104" s="7">
        <v>129</v>
      </c>
      <c r="H104" s="7">
        <v>200</v>
      </c>
      <c r="I104" s="7">
        <v>633</v>
      </c>
      <c r="J104" s="7">
        <v>20570.253920141775</v>
      </c>
      <c r="K104" s="7">
        <v>143.42333812926603</v>
      </c>
    </row>
    <row r="105" spans="1:11" x14ac:dyDescent="0.3">
      <c r="A105" s="4">
        <v>44866</v>
      </c>
      <c r="B105" s="5" t="s">
        <v>3</v>
      </c>
      <c r="C105" s="6">
        <v>135.5</v>
      </c>
      <c r="D105" s="15"/>
      <c r="E105" s="15"/>
      <c r="F105" s="7">
        <v>176.52136363636365</v>
      </c>
      <c r="G105" s="7">
        <v>129</v>
      </c>
      <c r="H105" s="7">
        <v>200</v>
      </c>
      <c r="I105" s="7">
        <v>633</v>
      </c>
      <c r="J105" s="7">
        <v>20570.253920141775</v>
      </c>
      <c r="K105" s="7">
        <v>143.42333812926603</v>
      </c>
    </row>
    <row r="106" spans="1:11" x14ac:dyDescent="0.3">
      <c r="A106" s="4">
        <v>44867</v>
      </c>
      <c r="B106" s="5" t="s">
        <v>3</v>
      </c>
      <c r="C106" s="6">
        <v>373</v>
      </c>
      <c r="D106" s="15"/>
      <c r="E106" s="15"/>
      <c r="F106" s="7">
        <v>176.52136363636365</v>
      </c>
      <c r="G106" s="7">
        <v>129</v>
      </c>
      <c r="H106" s="7">
        <v>200</v>
      </c>
      <c r="I106" s="7">
        <v>633</v>
      </c>
      <c r="J106" s="7">
        <v>20570.253920141775</v>
      </c>
      <c r="K106" s="7">
        <v>143.42333812926603</v>
      </c>
    </row>
    <row r="107" spans="1:11" x14ac:dyDescent="0.3">
      <c r="A107" s="4">
        <v>44896</v>
      </c>
      <c r="B107" s="5" t="s">
        <v>5</v>
      </c>
      <c r="C107" s="6">
        <v>479</v>
      </c>
      <c r="D107" s="15"/>
      <c r="E107" s="15"/>
      <c r="F107" s="7">
        <v>176.52136363636365</v>
      </c>
      <c r="G107" s="7">
        <v>129</v>
      </c>
      <c r="H107" s="7">
        <v>200</v>
      </c>
      <c r="I107" s="7">
        <v>633</v>
      </c>
      <c r="J107" s="7">
        <v>20570.253920141775</v>
      </c>
      <c r="K107" s="7">
        <v>143.42333812926603</v>
      </c>
    </row>
    <row r="108" spans="1:11" x14ac:dyDescent="0.3">
      <c r="A108" s="4">
        <v>44896</v>
      </c>
      <c r="B108" s="5" t="s">
        <v>3</v>
      </c>
      <c r="C108" s="6">
        <v>301.75</v>
      </c>
      <c r="D108" s="15"/>
      <c r="E108" s="15"/>
      <c r="F108" s="7">
        <v>176.52136363636365</v>
      </c>
      <c r="G108" s="7">
        <v>129</v>
      </c>
      <c r="H108" s="7">
        <v>200</v>
      </c>
      <c r="I108" s="7">
        <v>633</v>
      </c>
      <c r="J108" s="7">
        <v>20570.253920141775</v>
      </c>
      <c r="K108" s="7">
        <v>143.42333812926603</v>
      </c>
    </row>
    <row r="109" spans="1:11" x14ac:dyDescent="0.3">
      <c r="A109" s="4">
        <v>44897</v>
      </c>
      <c r="B109" s="5" t="s">
        <v>3</v>
      </c>
      <c r="C109" s="6">
        <v>491</v>
      </c>
      <c r="D109" s="15"/>
      <c r="E109" s="15"/>
      <c r="F109" s="7">
        <v>176.52136363636365</v>
      </c>
      <c r="G109" s="7">
        <v>129</v>
      </c>
      <c r="H109" s="7">
        <v>200</v>
      </c>
      <c r="I109" s="7">
        <v>633</v>
      </c>
      <c r="J109" s="7">
        <v>20570.253920141775</v>
      </c>
      <c r="K109" s="7">
        <v>143.42333812926603</v>
      </c>
    </row>
    <row r="110" spans="1:11" x14ac:dyDescent="0.3">
      <c r="A110" s="4">
        <v>44897</v>
      </c>
      <c r="B110" s="5" t="s">
        <v>4</v>
      </c>
      <c r="C110" s="6">
        <v>70</v>
      </c>
      <c r="D110" s="15"/>
      <c r="E110" s="15"/>
      <c r="F110" s="7">
        <v>176.52136363636365</v>
      </c>
      <c r="G110" s="7">
        <v>129</v>
      </c>
      <c r="H110" s="7">
        <v>200</v>
      </c>
      <c r="I110" s="7">
        <v>633</v>
      </c>
      <c r="J110" s="7">
        <v>20570.253920141775</v>
      </c>
      <c r="K110" s="7">
        <v>143.42333812926603</v>
      </c>
    </row>
    <row r="111" spans="1:11" x14ac:dyDescent="0.3">
      <c r="A111" s="4">
        <v>44897</v>
      </c>
      <c r="B111" s="5" t="s">
        <v>3</v>
      </c>
      <c r="C111" s="6">
        <v>80</v>
      </c>
      <c r="D111" s="15"/>
      <c r="E111" s="15"/>
      <c r="F111" s="7">
        <v>176.52136363636365</v>
      </c>
      <c r="G111" s="7">
        <v>129</v>
      </c>
      <c r="H111" s="7">
        <v>200</v>
      </c>
      <c r="I111" s="7">
        <v>633</v>
      </c>
      <c r="J111" s="7">
        <v>20570.253920141775</v>
      </c>
      <c r="K111" s="7">
        <v>143.42333812926603</v>
      </c>
    </row>
  </sheetData>
  <autoFilter ref="A1:K111">
    <sortState ref="A2:F111">
      <sortCondition ref="A1:A111"/>
    </sortState>
  </autoFilter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1"/>
  <sheetViews>
    <sheetView zoomScale="74" workbookViewId="0">
      <selection activeCell="H16" sqref="H16"/>
    </sheetView>
  </sheetViews>
  <sheetFormatPr defaultRowHeight="14.4" x14ac:dyDescent="0.3"/>
  <cols>
    <col min="1" max="1" width="13.21875" customWidth="1"/>
    <col min="5" max="5" width="12.5546875" bestFit="1" customWidth="1"/>
    <col min="6" max="6" width="14.44140625" bestFit="1" customWidth="1"/>
    <col min="8" max="8" width="11.109375" customWidth="1"/>
  </cols>
  <sheetData>
    <row r="1" spans="1:10" x14ac:dyDescent="0.3">
      <c r="A1" s="1" t="s">
        <v>0</v>
      </c>
      <c r="B1" s="3" t="s">
        <v>2</v>
      </c>
      <c r="E1" s="11" t="s">
        <v>28</v>
      </c>
      <c r="F1" t="s">
        <v>30</v>
      </c>
      <c r="H1" t="s">
        <v>53</v>
      </c>
      <c r="I1" t="s">
        <v>20</v>
      </c>
      <c r="J1" t="s">
        <v>19</v>
      </c>
    </row>
    <row r="2" spans="1:10" x14ac:dyDescent="0.3">
      <c r="A2" s="4">
        <v>44562</v>
      </c>
      <c r="B2" s="6">
        <v>85</v>
      </c>
      <c r="E2" s="12" t="s">
        <v>32</v>
      </c>
      <c r="F2" s="13">
        <v>5838.15</v>
      </c>
      <c r="H2" s="4">
        <v>44562</v>
      </c>
      <c r="I2">
        <f>SKEW(B2:B43)</f>
        <v>1.0625675279674665</v>
      </c>
      <c r="J2">
        <f>KURT(B2:B43)</f>
        <v>0.80799442144315803</v>
      </c>
    </row>
    <row r="3" spans="1:10" x14ac:dyDescent="0.3">
      <c r="A3" s="4">
        <v>44564</v>
      </c>
      <c r="B3" s="6">
        <v>78</v>
      </c>
      <c r="E3" s="12" t="s">
        <v>33</v>
      </c>
      <c r="F3" s="13">
        <v>6824.65</v>
      </c>
      <c r="H3" s="4">
        <v>44593</v>
      </c>
      <c r="I3">
        <f>SKEW(B44:B78)</f>
        <v>0.35915981652699047</v>
      </c>
      <c r="J3">
        <f>KURT(B44:B78)</f>
        <v>-1.0384080663456743</v>
      </c>
    </row>
    <row r="4" spans="1:10" x14ac:dyDescent="0.3">
      <c r="A4" s="4">
        <v>44564</v>
      </c>
      <c r="B4" s="6">
        <v>30</v>
      </c>
      <c r="E4" s="12" t="s">
        <v>34</v>
      </c>
      <c r="F4" s="13">
        <v>510</v>
      </c>
      <c r="H4" s="4">
        <v>44621</v>
      </c>
      <c r="I4">
        <f>SKEW(B79:B82)</f>
        <v>0.94493371969018036</v>
      </c>
      <c r="J4">
        <f>KURT(B79:B82)</f>
        <v>-0.19141632035222322</v>
      </c>
    </row>
    <row r="5" spans="1:10" x14ac:dyDescent="0.3">
      <c r="A5" s="4">
        <v>44564</v>
      </c>
      <c r="B5" s="6">
        <v>67</v>
      </c>
      <c r="E5" s="12" t="s">
        <v>35</v>
      </c>
      <c r="F5" s="13">
        <v>373</v>
      </c>
      <c r="H5" s="4">
        <v>44652</v>
      </c>
      <c r="I5">
        <f>SKEW(B83:B86)</f>
        <v>3.6956980341938577E-3</v>
      </c>
      <c r="J5">
        <f>KURT(B83:B86)</f>
        <v>-5.9786666727412907</v>
      </c>
    </row>
    <row r="6" spans="1:10" x14ac:dyDescent="0.3">
      <c r="A6" s="4">
        <v>44574</v>
      </c>
      <c r="B6" s="6">
        <v>66</v>
      </c>
      <c r="E6" s="12" t="s">
        <v>36</v>
      </c>
      <c r="F6" s="13">
        <v>2083</v>
      </c>
      <c r="H6" s="4">
        <v>44682</v>
      </c>
      <c r="I6">
        <f>SKEW(B87:B94)</f>
        <v>-1.5759198624733045E-2</v>
      </c>
      <c r="J6">
        <f>KURT(B87:B94)</f>
        <v>-2.0426591742005389</v>
      </c>
    </row>
    <row r="7" spans="1:10" x14ac:dyDescent="0.3">
      <c r="A7" s="4">
        <v>44574</v>
      </c>
      <c r="B7" s="6">
        <v>43</v>
      </c>
      <c r="E7" s="12" t="s">
        <v>37</v>
      </c>
      <c r="F7" s="13">
        <v>347</v>
      </c>
      <c r="H7" s="4">
        <v>44713</v>
      </c>
      <c r="I7">
        <f>SKEW(B95:B99)</f>
        <v>0.55188423161632272</v>
      </c>
      <c r="J7">
        <f>KURT(B95:B99)</f>
        <v>-2.6806368427718406</v>
      </c>
    </row>
    <row r="8" spans="1:10" x14ac:dyDescent="0.3">
      <c r="A8" s="4">
        <v>44576</v>
      </c>
      <c r="B8" s="6">
        <v>70</v>
      </c>
      <c r="E8" s="12" t="s">
        <v>38</v>
      </c>
      <c r="F8" s="13">
        <v>229</v>
      </c>
      <c r="H8" s="4">
        <v>44743</v>
      </c>
      <c r="I8" t="e">
        <f>SKEW(B100:B101)</f>
        <v>#DIV/0!</v>
      </c>
      <c r="J8" t="e">
        <f>KURT(B100:B101)</f>
        <v>#DIV/0!</v>
      </c>
    </row>
    <row r="9" spans="1:10" x14ac:dyDescent="0.3">
      <c r="A9" s="4">
        <v>44578</v>
      </c>
      <c r="B9" s="6">
        <v>100</v>
      </c>
      <c r="E9" s="12" t="s">
        <v>39</v>
      </c>
      <c r="F9" s="13">
        <v>535.29999999999995</v>
      </c>
      <c r="H9" s="4">
        <v>44774</v>
      </c>
      <c r="I9" t="e">
        <f>SKEW(B102)</f>
        <v>#DIV/0!</v>
      </c>
      <c r="J9" t="e">
        <f>KURT(B102)</f>
        <v>#DIV/0!</v>
      </c>
    </row>
    <row r="10" spans="1:10" x14ac:dyDescent="0.3">
      <c r="A10" s="4">
        <v>44579</v>
      </c>
      <c r="B10" s="6">
        <v>301.14999999999998</v>
      </c>
      <c r="E10" s="12" t="s">
        <v>40</v>
      </c>
      <c r="F10" s="13">
        <v>747</v>
      </c>
      <c r="H10" s="4">
        <v>44835</v>
      </c>
      <c r="I10" t="e">
        <f>SKEW(B103:B104)</f>
        <v>#DIV/0!</v>
      </c>
      <c r="J10" t="e">
        <f>KURT(B103:B104)</f>
        <v>#DIV/0!</v>
      </c>
    </row>
    <row r="11" spans="1:10" x14ac:dyDescent="0.3">
      <c r="A11" s="4">
        <v>44579</v>
      </c>
      <c r="B11" s="6">
        <v>59</v>
      </c>
      <c r="E11" s="12" t="s">
        <v>41</v>
      </c>
      <c r="F11" s="13">
        <v>508.5</v>
      </c>
      <c r="H11" s="4">
        <v>44866</v>
      </c>
      <c r="I11" t="e">
        <f>SKEW(B105:B106)</f>
        <v>#DIV/0!</v>
      </c>
      <c r="J11" t="e">
        <f>KURT(B105:B106)</f>
        <v>#DIV/0!</v>
      </c>
    </row>
    <row r="12" spans="1:10" x14ac:dyDescent="0.3">
      <c r="A12" s="4">
        <v>44579</v>
      </c>
      <c r="B12" s="6">
        <v>148</v>
      </c>
      <c r="E12" s="12" t="s">
        <v>42</v>
      </c>
      <c r="F12" s="13">
        <v>1421.75</v>
      </c>
      <c r="H12" s="4">
        <v>44896</v>
      </c>
      <c r="I12">
        <f>SKEW(B107:B111)</f>
        <v>-0.10481292271817397</v>
      </c>
      <c r="J12">
        <f>KURT(B107:B111)</f>
        <v>-2.9946545868457601</v>
      </c>
    </row>
    <row r="13" spans="1:10" x14ac:dyDescent="0.3">
      <c r="A13" s="4">
        <v>44579</v>
      </c>
      <c r="B13" s="6">
        <v>200</v>
      </c>
      <c r="E13" s="12" t="s">
        <v>29</v>
      </c>
      <c r="F13" s="13">
        <v>19417.349999999999</v>
      </c>
    </row>
    <row r="14" spans="1:10" x14ac:dyDescent="0.3">
      <c r="A14" s="4">
        <v>44580</v>
      </c>
      <c r="B14" s="6">
        <v>171</v>
      </c>
    </row>
    <row r="15" spans="1:10" x14ac:dyDescent="0.3">
      <c r="A15" s="4">
        <v>44582</v>
      </c>
      <c r="B15" s="6">
        <v>188</v>
      </c>
    </row>
    <row r="16" spans="1:10" x14ac:dyDescent="0.3">
      <c r="A16" s="4">
        <v>44582</v>
      </c>
      <c r="B16" s="6">
        <v>37</v>
      </c>
    </row>
    <row r="17" spans="1:2" x14ac:dyDescent="0.3">
      <c r="A17" s="4">
        <v>44584</v>
      </c>
      <c r="B17" s="6">
        <v>40</v>
      </c>
    </row>
    <row r="18" spans="1:2" x14ac:dyDescent="0.3">
      <c r="A18" s="4">
        <v>44584</v>
      </c>
      <c r="B18" s="6">
        <v>465</v>
      </c>
    </row>
    <row r="19" spans="1:2" x14ac:dyDescent="0.3">
      <c r="A19" s="4">
        <v>44584</v>
      </c>
      <c r="B19" s="6">
        <v>300</v>
      </c>
    </row>
    <row r="20" spans="1:2" x14ac:dyDescent="0.3">
      <c r="A20" s="4">
        <v>44584</v>
      </c>
      <c r="B20" s="6">
        <v>302</v>
      </c>
    </row>
    <row r="21" spans="1:2" x14ac:dyDescent="0.3">
      <c r="A21" s="4">
        <v>44584</v>
      </c>
      <c r="B21" s="6">
        <v>176</v>
      </c>
    </row>
    <row r="22" spans="1:2" x14ac:dyDescent="0.3">
      <c r="A22" s="4">
        <v>44584</v>
      </c>
      <c r="B22" s="6">
        <v>200</v>
      </c>
    </row>
    <row r="23" spans="1:2" x14ac:dyDescent="0.3">
      <c r="A23" s="4">
        <v>44585</v>
      </c>
      <c r="B23" s="6">
        <v>40</v>
      </c>
    </row>
    <row r="24" spans="1:2" x14ac:dyDescent="0.3">
      <c r="A24" s="4">
        <v>44585</v>
      </c>
      <c r="B24" s="6">
        <v>133</v>
      </c>
    </row>
    <row r="25" spans="1:2" x14ac:dyDescent="0.3">
      <c r="A25" s="4">
        <v>44586</v>
      </c>
      <c r="B25" s="6">
        <v>259</v>
      </c>
    </row>
    <row r="26" spans="1:2" x14ac:dyDescent="0.3">
      <c r="A26" s="4">
        <v>44586</v>
      </c>
      <c r="B26" s="6">
        <v>18</v>
      </c>
    </row>
    <row r="27" spans="1:2" x14ac:dyDescent="0.3">
      <c r="A27" s="4">
        <v>44586</v>
      </c>
      <c r="B27" s="6">
        <v>325</v>
      </c>
    </row>
    <row r="28" spans="1:2" x14ac:dyDescent="0.3">
      <c r="A28" s="4">
        <v>44587</v>
      </c>
      <c r="B28" s="6">
        <v>115</v>
      </c>
    </row>
    <row r="29" spans="1:2" x14ac:dyDescent="0.3">
      <c r="A29" s="4">
        <v>44587</v>
      </c>
      <c r="B29" s="6">
        <v>25</v>
      </c>
    </row>
    <row r="30" spans="1:2" x14ac:dyDescent="0.3">
      <c r="A30" s="4">
        <v>44588</v>
      </c>
      <c r="B30" s="6">
        <v>43</v>
      </c>
    </row>
    <row r="31" spans="1:2" x14ac:dyDescent="0.3">
      <c r="A31" s="4">
        <v>44588</v>
      </c>
      <c r="B31" s="6">
        <v>300</v>
      </c>
    </row>
    <row r="32" spans="1:2" x14ac:dyDescent="0.3">
      <c r="A32" s="4">
        <v>44588</v>
      </c>
      <c r="B32" s="6">
        <v>100</v>
      </c>
    </row>
    <row r="33" spans="1:2" x14ac:dyDescent="0.3">
      <c r="A33" s="4">
        <v>44588</v>
      </c>
      <c r="B33" s="6">
        <v>279</v>
      </c>
    </row>
    <row r="34" spans="1:2" x14ac:dyDescent="0.3">
      <c r="A34" s="4">
        <v>44589</v>
      </c>
      <c r="B34" s="6">
        <v>10</v>
      </c>
    </row>
    <row r="35" spans="1:2" x14ac:dyDescent="0.3">
      <c r="A35" s="4">
        <v>44589</v>
      </c>
      <c r="B35" s="6">
        <v>138</v>
      </c>
    </row>
    <row r="36" spans="1:2" x14ac:dyDescent="0.3">
      <c r="A36" s="4">
        <v>44590</v>
      </c>
      <c r="B36" s="6">
        <v>44</v>
      </c>
    </row>
    <row r="37" spans="1:2" x14ac:dyDescent="0.3">
      <c r="A37" s="4">
        <v>44590</v>
      </c>
      <c r="B37" s="6">
        <v>100</v>
      </c>
    </row>
    <row r="38" spans="1:2" x14ac:dyDescent="0.3">
      <c r="A38" s="4">
        <v>44591</v>
      </c>
      <c r="B38" s="6">
        <v>155</v>
      </c>
    </row>
    <row r="39" spans="1:2" x14ac:dyDescent="0.3">
      <c r="A39" s="4">
        <v>44591</v>
      </c>
      <c r="B39" s="6">
        <v>120</v>
      </c>
    </row>
    <row r="40" spans="1:2" x14ac:dyDescent="0.3">
      <c r="A40" s="4">
        <v>44591</v>
      </c>
      <c r="B40" s="6">
        <v>105</v>
      </c>
    </row>
    <row r="41" spans="1:2" x14ac:dyDescent="0.3">
      <c r="A41" s="4">
        <v>44592</v>
      </c>
      <c r="B41" s="6">
        <v>50</v>
      </c>
    </row>
    <row r="42" spans="1:2" x14ac:dyDescent="0.3">
      <c r="A42" s="4">
        <v>44592</v>
      </c>
      <c r="B42" s="6">
        <v>200</v>
      </c>
    </row>
    <row r="43" spans="1:2" x14ac:dyDescent="0.3">
      <c r="A43" s="4">
        <v>44592</v>
      </c>
      <c r="B43" s="6">
        <v>153</v>
      </c>
    </row>
    <row r="44" spans="1:2" x14ac:dyDescent="0.3">
      <c r="A44" s="4">
        <v>44593</v>
      </c>
      <c r="B44" s="6">
        <v>8</v>
      </c>
    </row>
    <row r="45" spans="1:2" x14ac:dyDescent="0.3">
      <c r="A45" s="4">
        <v>44593</v>
      </c>
      <c r="B45" s="6">
        <v>200</v>
      </c>
    </row>
    <row r="46" spans="1:2" x14ac:dyDescent="0.3">
      <c r="A46" s="4">
        <v>44594</v>
      </c>
      <c r="B46" s="6">
        <v>120</v>
      </c>
    </row>
    <row r="47" spans="1:2" x14ac:dyDescent="0.3">
      <c r="A47" s="4">
        <v>44595</v>
      </c>
      <c r="B47" s="6">
        <v>50</v>
      </c>
    </row>
    <row r="48" spans="1:2" x14ac:dyDescent="0.3">
      <c r="A48" s="4">
        <v>44595</v>
      </c>
      <c r="B48" s="6">
        <v>300</v>
      </c>
    </row>
    <row r="49" spans="1:2" x14ac:dyDescent="0.3">
      <c r="A49" s="4">
        <v>44605</v>
      </c>
      <c r="B49" s="6">
        <v>100</v>
      </c>
    </row>
    <row r="50" spans="1:2" x14ac:dyDescent="0.3">
      <c r="A50" s="4">
        <v>44608</v>
      </c>
      <c r="B50" s="6">
        <v>165</v>
      </c>
    </row>
    <row r="51" spans="1:2" x14ac:dyDescent="0.3">
      <c r="A51" s="4">
        <v>44608</v>
      </c>
      <c r="B51" s="6">
        <v>475</v>
      </c>
    </row>
    <row r="52" spans="1:2" x14ac:dyDescent="0.3">
      <c r="A52" s="4">
        <v>44609</v>
      </c>
      <c r="B52" s="6">
        <v>80</v>
      </c>
    </row>
    <row r="53" spans="1:2" x14ac:dyDescent="0.3">
      <c r="A53" s="4">
        <v>44610</v>
      </c>
      <c r="B53" s="6">
        <v>348</v>
      </c>
    </row>
    <row r="54" spans="1:2" x14ac:dyDescent="0.3">
      <c r="A54" s="4">
        <v>44611</v>
      </c>
      <c r="B54" s="6">
        <v>111</v>
      </c>
    </row>
    <row r="55" spans="1:2" x14ac:dyDescent="0.3">
      <c r="A55" s="4">
        <v>44611</v>
      </c>
      <c r="B55" s="6">
        <v>250</v>
      </c>
    </row>
    <row r="56" spans="1:2" x14ac:dyDescent="0.3">
      <c r="A56" s="4">
        <v>44611</v>
      </c>
      <c r="B56" s="6">
        <v>200</v>
      </c>
    </row>
    <row r="57" spans="1:2" x14ac:dyDescent="0.3">
      <c r="A57" s="4">
        <v>44611</v>
      </c>
      <c r="B57" s="6">
        <v>380</v>
      </c>
    </row>
    <row r="58" spans="1:2" x14ac:dyDescent="0.3">
      <c r="A58" s="4">
        <v>44611</v>
      </c>
      <c r="B58" s="6">
        <v>60</v>
      </c>
    </row>
    <row r="59" spans="1:2" x14ac:dyDescent="0.3">
      <c r="A59" s="4">
        <v>44611</v>
      </c>
      <c r="B59" s="6">
        <v>50</v>
      </c>
    </row>
    <row r="60" spans="1:2" x14ac:dyDescent="0.3">
      <c r="A60" s="4">
        <v>44611</v>
      </c>
      <c r="B60" s="6">
        <v>270</v>
      </c>
    </row>
    <row r="61" spans="1:2" x14ac:dyDescent="0.3">
      <c r="A61" s="4">
        <v>44612</v>
      </c>
      <c r="B61" s="6">
        <v>200</v>
      </c>
    </row>
    <row r="62" spans="1:2" x14ac:dyDescent="0.3">
      <c r="A62" s="4">
        <v>44613</v>
      </c>
      <c r="B62" s="6">
        <v>138</v>
      </c>
    </row>
    <row r="63" spans="1:2" x14ac:dyDescent="0.3">
      <c r="A63" s="4">
        <v>44613</v>
      </c>
      <c r="B63" s="6">
        <v>336</v>
      </c>
    </row>
    <row r="64" spans="1:2" x14ac:dyDescent="0.3">
      <c r="A64" s="4">
        <v>44613</v>
      </c>
      <c r="B64" s="6">
        <v>201.8</v>
      </c>
    </row>
    <row r="65" spans="1:2" x14ac:dyDescent="0.3">
      <c r="A65" s="4">
        <v>44614</v>
      </c>
      <c r="B65" s="6">
        <v>120</v>
      </c>
    </row>
    <row r="66" spans="1:2" x14ac:dyDescent="0.3">
      <c r="A66" s="4">
        <v>44615</v>
      </c>
      <c r="B66" s="6">
        <v>399</v>
      </c>
    </row>
    <row r="67" spans="1:2" x14ac:dyDescent="0.3">
      <c r="A67" s="4">
        <v>44615</v>
      </c>
      <c r="B67" s="6">
        <v>83</v>
      </c>
    </row>
    <row r="68" spans="1:2" x14ac:dyDescent="0.3">
      <c r="A68" s="4">
        <v>44615</v>
      </c>
      <c r="B68" s="6">
        <v>399</v>
      </c>
    </row>
    <row r="69" spans="1:2" x14ac:dyDescent="0.3">
      <c r="A69" s="4">
        <v>44616</v>
      </c>
      <c r="B69" s="6">
        <v>303</v>
      </c>
    </row>
    <row r="70" spans="1:2" x14ac:dyDescent="0.3">
      <c r="A70" s="4">
        <v>44616</v>
      </c>
      <c r="B70" s="6">
        <v>289</v>
      </c>
    </row>
    <row r="71" spans="1:2" x14ac:dyDescent="0.3">
      <c r="A71" s="4">
        <v>44616</v>
      </c>
      <c r="B71" s="6">
        <v>324.7</v>
      </c>
    </row>
    <row r="72" spans="1:2" x14ac:dyDescent="0.3">
      <c r="A72" s="4">
        <v>44617</v>
      </c>
      <c r="B72" s="6">
        <v>33</v>
      </c>
    </row>
    <row r="73" spans="1:2" x14ac:dyDescent="0.3">
      <c r="A73" s="4">
        <v>44618</v>
      </c>
      <c r="B73" s="6">
        <v>25</v>
      </c>
    </row>
    <row r="74" spans="1:2" x14ac:dyDescent="0.3">
      <c r="A74" s="4">
        <v>44618</v>
      </c>
      <c r="B74" s="6">
        <v>100</v>
      </c>
    </row>
    <row r="75" spans="1:2" x14ac:dyDescent="0.3">
      <c r="A75" s="4">
        <v>44618</v>
      </c>
      <c r="B75" s="6">
        <v>40</v>
      </c>
    </row>
    <row r="76" spans="1:2" x14ac:dyDescent="0.3">
      <c r="A76" s="4">
        <v>44618</v>
      </c>
      <c r="B76" s="6">
        <v>84</v>
      </c>
    </row>
    <row r="77" spans="1:2" x14ac:dyDescent="0.3">
      <c r="A77" s="4">
        <v>44619</v>
      </c>
      <c r="B77" s="6">
        <v>243</v>
      </c>
    </row>
    <row r="78" spans="1:2" x14ac:dyDescent="0.3">
      <c r="A78" s="4">
        <v>44620</v>
      </c>
      <c r="B78" s="6">
        <v>339.15</v>
      </c>
    </row>
    <row r="79" spans="1:2" x14ac:dyDescent="0.3">
      <c r="A79" s="4">
        <v>44621</v>
      </c>
      <c r="B79" s="6">
        <v>10</v>
      </c>
    </row>
    <row r="80" spans="1:2" x14ac:dyDescent="0.3">
      <c r="A80" s="4">
        <v>44621</v>
      </c>
      <c r="B80" s="6">
        <v>300</v>
      </c>
    </row>
    <row r="81" spans="1:2" x14ac:dyDescent="0.3">
      <c r="A81" s="4">
        <v>44622</v>
      </c>
      <c r="B81" s="6">
        <v>50</v>
      </c>
    </row>
    <row r="82" spans="1:2" x14ac:dyDescent="0.3">
      <c r="A82" s="4">
        <v>44622</v>
      </c>
      <c r="B82" s="6">
        <v>150</v>
      </c>
    </row>
    <row r="83" spans="1:2" x14ac:dyDescent="0.3">
      <c r="A83" s="4">
        <v>44652</v>
      </c>
      <c r="B83" s="6">
        <v>106</v>
      </c>
    </row>
    <row r="84" spans="1:2" x14ac:dyDescent="0.3">
      <c r="A84" s="4">
        <v>44652</v>
      </c>
      <c r="B84" s="6">
        <v>80</v>
      </c>
    </row>
    <row r="85" spans="1:2" x14ac:dyDescent="0.3">
      <c r="A85" s="4">
        <v>44652</v>
      </c>
      <c r="B85" s="6">
        <v>107</v>
      </c>
    </row>
    <row r="86" spans="1:2" x14ac:dyDescent="0.3">
      <c r="A86" s="4">
        <v>44653</v>
      </c>
      <c r="B86" s="6">
        <v>80</v>
      </c>
    </row>
    <row r="87" spans="1:2" x14ac:dyDescent="0.3">
      <c r="A87" s="4">
        <v>44682</v>
      </c>
      <c r="B87" s="6">
        <v>211</v>
      </c>
    </row>
    <row r="88" spans="1:2" x14ac:dyDescent="0.3">
      <c r="A88" s="4">
        <v>44682</v>
      </c>
      <c r="B88" s="6">
        <v>40</v>
      </c>
    </row>
    <row r="89" spans="1:2" x14ac:dyDescent="0.3">
      <c r="A89" s="4">
        <v>44682</v>
      </c>
      <c r="B89" s="6">
        <v>30</v>
      </c>
    </row>
    <row r="90" spans="1:2" x14ac:dyDescent="0.3">
      <c r="A90" s="4">
        <v>44682</v>
      </c>
      <c r="B90" s="6">
        <v>354</v>
      </c>
    </row>
    <row r="91" spans="1:2" x14ac:dyDescent="0.3">
      <c r="A91" s="4">
        <v>44682</v>
      </c>
      <c r="B91" s="6">
        <v>500</v>
      </c>
    </row>
    <row r="92" spans="1:2" x14ac:dyDescent="0.3">
      <c r="A92" s="4">
        <v>44682</v>
      </c>
      <c r="B92" s="6">
        <v>500</v>
      </c>
    </row>
    <row r="93" spans="1:2" x14ac:dyDescent="0.3">
      <c r="A93" s="4">
        <v>44682</v>
      </c>
      <c r="B93" s="6">
        <v>60</v>
      </c>
    </row>
    <row r="94" spans="1:2" x14ac:dyDescent="0.3">
      <c r="A94" s="4">
        <v>44682</v>
      </c>
      <c r="B94" s="6">
        <v>388</v>
      </c>
    </row>
    <row r="95" spans="1:2" x14ac:dyDescent="0.3">
      <c r="A95" s="4">
        <v>44713</v>
      </c>
      <c r="B95" s="6">
        <v>20</v>
      </c>
    </row>
    <row r="96" spans="1:2" x14ac:dyDescent="0.3">
      <c r="A96" s="4">
        <v>44713</v>
      </c>
      <c r="B96" s="6">
        <v>10</v>
      </c>
    </row>
    <row r="97" spans="1:2" x14ac:dyDescent="0.3">
      <c r="A97" s="4">
        <v>44713</v>
      </c>
      <c r="B97" s="6">
        <v>42</v>
      </c>
    </row>
    <row r="98" spans="1:2" x14ac:dyDescent="0.3">
      <c r="A98" s="4">
        <v>44714</v>
      </c>
      <c r="B98" s="6">
        <v>125</v>
      </c>
    </row>
    <row r="99" spans="1:2" x14ac:dyDescent="0.3">
      <c r="A99" s="4">
        <v>44714</v>
      </c>
      <c r="B99" s="6">
        <v>150</v>
      </c>
    </row>
    <row r="100" spans="1:2" x14ac:dyDescent="0.3">
      <c r="A100" s="4">
        <v>44743</v>
      </c>
      <c r="B100" s="6">
        <v>15</v>
      </c>
    </row>
    <row r="101" spans="1:2" x14ac:dyDescent="0.3">
      <c r="A101" s="4">
        <v>44744</v>
      </c>
      <c r="B101" s="6">
        <v>214</v>
      </c>
    </row>
    <row r="102" spans="1:2" x14ac:dyDescent="0.3">
      <c r="A102" s="4">
        <v>44774</v>
      </c>
      <c r="B102" s="6">
        <v>535.29999999999995</v>
      </c>
    </row>
    <row r="103" spans="1:2" x14ac:dyDescent="0.3">
      <c r="A103" s="4">
        <v>44835</v>
      </c>
      <c r="B103" s="6">
        <v>106</v>
      </c>
    </row>
    <row r="104" spans="1:2" x14ac:dyDescent="0.3">
      <c r="A104" s="4">
        <v>44836</v>
      </c>
      <c r="B104" s="6">
        <v>641</v>
      </c>
    </row>
    <row r="105" spans="1:2" x14ac:dyDescent="0.3">
      <c r="A105" s="4">
        <v>44866</v>
      </c>
      <c r="B105" s="6">
        <v>135.5</v>
      </c>
    </row>
    <row r="106" spans="1:2" x14ac:dyDescent="0.3">
      <c r="A106" s="4">
        <v>44867</v>
      </c>
      <c r="B106" s="6">
        <v>373</v>
      </c>
    </row>
    <row r="107" spans="1:2" x14ac:dyDescent="0.3">
      <c r="A107" s="4">
        <v>44896</v>
      </c>
      <c r="B107" s="6">
        <v>479</v>
      </c>
    </row>
    <row r="108" spans="1:2" x14ac:dyDescent="0.3">
      <c r="A108" s="4">
        <v>44896</v>
      </c>
      <c r="B108" s="6">
        <v>301.75</v>
      </c>
    </row>
    <row r="109" spans="1:2" x14ac:dyDescent="0.3">
      <c r="A109" s="4">
        <v>44897</v>
      </c>
      <c r="B109" s="6">
        <v>491</v>
      </c>
    </row>
    <row r="110" spans="1:2" x14ac:dyDescent="0.3">
      <c r="A110" s="4">
        <v>44897</v>
      </c>
      <c r="B110" s="6">
        <v>70</v>
      </c>
    </row>
    <row r="111" spans="1:2" x14ac:dyDescent="0.3">
      <c r="A111" s="4">
        <v>44897</v>
      </c>
      <c r="B111" s="6">
        <v>80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39"/>
  <sheetViews>
    <sheetView zoomScale="73" workbookViewId="0">
      <selection activeCell="Q18" sqref="Q18"/>
    </sheetView>
  </sheetViews>
  <sheetFormatPr defaultRowHeight="14.4" x14ac:dyDescent="0.3"/>
  <cols>
    <col min="1" max="1" width="14.44140625" customWidth="1"/>
    <col min="2" max="2" width="15.5546875" bestFit="1" customWidth="1"/>
    <col min="3" max="3" width="5.77734375" customWidth="1"/>
    <col min="4" max="4" width="16" customWidth="1"/>
    <col min="5" max="5" width="16.44140625" customWidth="1"/>
    <col min="6" max="6" width="6" customWidth="1"/>
    <col min="7" max="7" width="14.33203125" customWidth="1"/>
    <col min="8" max="8" width="10.44140625" customWidth="1"/>
    <col min="9" max="9" width="7.6640625" customWidth="1"/>
    <col min="10" max="10" width="9.33203125" customWidth="1"/>
    <col min="11" max="11" width="11.21875" customWidth="1"/>
    <col min="12" max="14" width="6.44140625" customWidth="1"/>
    <col min="15" max="15" width="12.77734375" customWidth="1"/>
    <col min="16" max="21" width="6.44140625" customWidth="1"/>
    <col min="22" max="38" width="6.6640625" customWidth="1"/>
    <col min="39" max="40" width="7.109375" customWidth="1"/>
    <col min="41" max="42" width="6.6640625" customWidth="1"/>
    <col min="43" max="43" width="7.44140625" customWidth="1"/>
    <col min="44" max="45" width="6.5546875" customWidth="1"/>
    <col min="46" max="47" width="5.88671875" customWidth="1"/>
    <col min="48" max="48" width="7" customWidth="1"/>
    <col min="49" max="50" width="6.5546875" customWidth="1"/>
    <col min="51" max="52" width="7.109375" customWidth="1"/>
    <col min="53" max="54" width="6.77734375" customWidth="1"/>
    <col min="55" max="55" width="10.77734375" bestFit="1" customWidth="1"/>
    <col min="56" max="73" width="10.33203125" bestFit="1" customWidth="1"/>
    <col min="74" max="74" width="10.77734375" bestFit="1" customWidth="1"/>
  </cols>
  <sheetData>
    <row r="2" spans="1:11" x14ac:dyDescent="0.3">
      <c r="E2" t="s">
        <v>48</v>
      </c>
    </row>
    <row r="3" spans="1:11" x14ac:dyDescent="0.3">
      <c r="D3" s="11" t="s">
        <v>43</v>
      </c>
      <c r="E3" s="11" t="s">
        <v>31</v>
      </c>
    </row>
    <row r="4" spans="1:11" x14ac:dyDescent="0.3">
      <c r="A4" s="12"/>
      <c r="B4" s="13"/>
      <c r="D4" s="11" t="s">
        <v>28</v>
      </c>
      <c r="E4" t="s">
        <v>3</v>
      </c>
      <c r="F4" t="s">
        <v>5</v>
      </c>
      <c r="G4" t="s">
        <v>6</v>
      </c>
      <c r="H4" t="s">
        <v>4</v>
      </c>
      <c r="I4" t="s">
        <v>7</v>
      </c>
      <c r="J4" t="s">
        <v>8</v>
      </c>
      <c r="K4" t="s">
        <v>29</v>
      </c>
    </row>
    <row r="5" spans="1:11" x14ac:dyDescent="0.3">
      <c r="A5" s="12"/>
      <c r="B5" s="13"/>
      <c r="D5" s="12" t="s">
        <v>32</v>
      </c>
      <c r="E5" s="13">
        <v>29</v>
      </c>
      <c r="F5" s="13">
        <v>5</v>
      </c>
      <c r="G5" s="13">
        <v>7</v>
      </c>
      <c r="H5" s="13"/>
      <c r="I5" s="13"/>
      <c r="J5" s="13">
        <v>1</v>
      </c>
      <c r="K5" s="13">
        <v>42</v>
      </c>
    </row>
    <row r="6" spans="1:11" x14ac:dyDescent="0.3">
      <c r="A6" s="12"/>
      <c r="B6" s="13"/>
      <c r="D6" s="12" t="s">
        <v>33</v>
      </c>
      <c r="E6" s="13">
        <v>20</v>
      </c>
      <c r="F6" s="13">
        <v>4</v>
      </c>
      <c r="G6" s="13">
        <v>6</v>
      </c>
      <c r="H6" s="13">
        <v>2</v>
      </c>
      <c r="I6" s="13">
        <v>2</v>
      </c>
      <c r="J6" s="13">
        <v>1</v>
      </c>
      <c r="K6" s="13">
        <v>35</v>
      </c>
    </row>
    <row r="7" spans="1:11" x14ac:dyDescent="0.3">
      <c r="A7" s="12"/>
      <c r="B7" s="13"/>
      <c r="D7" s="12" t="s">
        <v>34</v>
      </c>
      <c r="E7" s="13">
        <v>3</v>
      </c>
      <c r="F7" s="13">
        <v>1</v>
      </c>
      <c r="G7" s="13"/>
      <c r="H7" s="13"/>
      <c r="I7" s="13"/>
      <c r="J7" s="13"/>
      <c r="K7" s="13">
        <v>4</v>
      </c>
    </row>
    <row r="8" spans="1:11" x14ac:dyDescent="0.3">
      <c r="A8" s="12"/>
      <c r="B8" s="13"/>
      <c r="D8" s="12" t="s">
        <v>35</v>
      </c>
      <c r="E8" s="13">
        <v>3</v>
      </c>
      <c r="F8" s="13">
        <v>1</v>
      </c>
      <c r="G8" s="13"/>
      <c r="H8" s="13"/>
      <c r="I8" s="13"/>
      <c r="J8" s="13"/>
      <c r="K8" s="13">
        <v>4</v>
      </c>
    </row>
    <row r="9" spans="1:11" x14ac:dyDescent="0.3">
      <c r="A9" s="12"/>
      <c r="B9" s="13"/>
      <c r="D9" s="12" t="s">
        <v>36</v>
      </c>
      <c r="E9" s="13">
        <v>3</v>
      </c>
      <c r="F9" s="13">
        <v>4</v>
      </c>
      <c r="G9" s="13">
        <v>1</v>
      </c>
      <c r="H9" s="13"/>
      <c r="I9" s="13"/>
      <c r="J9" s="13"/>
      <c r="K9" s="13">
        <v>8</v>
      </c>
    </row>
    <row r="10" spans="1:11" x14ac:dyDescent="0.3">
      <c r="A10" s="12"/>
      <c r="B10" s="13"/>
      <c r="D10" s="12" t="s">
        <v>37</v>
      </c>
      <c r="E10" s="13">
        <v>4</v>
      </c>
      <c r="F10" s="13"/>
      <c r="G10" s="13">
        <v>1</v>
      </c>
      <c r="H10" s="13"/>
      <c r="I10" s="13"/>
      <c r="J10" s="13"/>
      <c r="K10" s="13">
        <v>5</v>
      </c>
    </row>
    <row r="11" spans="1:11" x14ac:dyDescent="0.3">
      <c r="D11" s="12" t="s">
        <v>38</v>
      </c>
      <c r="E11" s="13">
        <v>1</v>
      </c>
      <c r="F11" s="13"/>
      <c r="G11" s="13">
        <v>1</v>
      </c>
      <c r="H11" s="13"/>
      <c r="I11" s="13"/>
      <c r="J11" s="13"/>
      <c r="K11" s="13">
        <v>2</v>
      </c>
    </row>
    <row r="12" spans="1:11" x14ac:dyDescent="0.3">
      <c r="D12" s="12" t="s">
        <v>39</v>
      </c>
      <c r="E12" s="13">
        <v>1</v>
      </c>
      <c r="F12" s="13"/>
      <c r="G12" s="13"/>
      <c r="H12" s="13"/>
      <c r="I12" s="13"/>
      <c r="J12" s="13"/>
      <c r="K12" s="13">
        <v>1</v>
      </c>
    </row>
    <row r="13" spans="1:11" x14ac:dyDescent="0.3">
      <c r="D13" s="12" t="s">
        <v>40</v>
      </c>
      <c r="E13" s="13">
        <v>2</v>
      </c>
      <c r="F13" s="13"/>
      <c r="G13" s="13"/>
      <c r="H13" s="13"/>
      <c r="I13" s="13"/>
      <c r="J13" s="13"/>
      <c r="K13" s="13">
        <v>2</v>
      </c>
    </row>
    <row r="14" spans="1:11" x14ac:dyDescent="0.3">
      <c r="D14" s="12" t="s">
        <v>41</v>
      </c>
      <c r="E14" s="13">
        <v>2</v>
      </c>
      <c r="F14" s="13"/>
      <c r="G14" s="13"/>
      <c r="H14" s="13"/>
      <c r="I14" s="13"/>
      <c r="J14" s="13"/>
      <c r="K14" s="13">
        <v>2</v>
      </c>
    </row>
    <row r="15" spans="1:11" x14ac:dyDescent="0.3">
      <c r="D15" s="12" t="s">
        <v>42</v>
      </c>
      <c r="E15" s="13">
        <v>3</v>
      </c>
      <c r="F15" s="13">
        <v>1</v>
      </c>
      <c r="G15" s="13"/>
      <c r="H15" s="13">
        <v>1</v>
      </c>
      <c r="I15" s="13"/>
      <c r="J15" s="13"/>
      <c r="K15" s="13">
        <v>5</v>
      </c>
    </row>
    <row r="16" spans="1:11" x14ac:dyDescent="0.3">
      <c r="D16" s="12" t="s">
        <v>29</v>
      </c>
      <c r="E16" s="13">
        <v>71</v>
      </c>
      <c r="F16" s="13">
        <v>16</v>
      </c>
      <c r="G16" s="13">
        <v>16</v>
      </c>
      <c r="H16" s="13">
        <v>3</v>
      </c>
      <c r="I16" s="13">
        <v>2</v>
      </c>
      <c r="J16" s="13">
        <v>2</v>
      </c>
      <c r="K16" s="13">
        <v>110</v>
      </c>
    </row>
    <row r="22" spans="1:16" x14ac:dyDescent="0.3">
      <c r="O22" t="s">
        <v>3</v>
      </c>
      <c r="P22">
        <v>71</v>
      </c>
    </row>
    <row r="23" spans="1:16" x14ac:dyDescent="0.3">
      <c r="O23" t="s">
        <v>5</v>
      </c>
      <c r="P23">
        <v>16</v>
      </c>
    </row>
    <row r="24" spans="1:16" x14ac:dyDescent="0.3">
      <c r="O24" t="s">
        <v>6</v>
      </c>
      <c r="P24">
        <v>16</v>
      </c>
    </row>
    <row r="25" spans="1:16" x14ac:dyDescent="0.3">
      <c r="B25" t="s">
        <v>47</v>
      </c>
      <c r="O25" t="s">
        <v>4</v>
      </c>
      <c r="P25">
        <v>3</v>
      </c>
    </row>
    <row r="26" spans="1:16" x14ac:dyDescent="0.3">
      <c r="A26" s="11" t="s">
        <v>30</v>
      </c>
      <c r="B26" s="11" t="s">
        <v>31</v>
      </c>
      <c r="O26" t="s">
        <v>7</v>
      </c>
      <c r="P26">
        <v>2</v>
      </c>
    </row>
    <row r="27" spans="1:16" x14ac:dyDescent="0.3">
      <c r="A27" s="11" t="s">
        <v>28</v>
      </c>
      <c r="B27" t="s">
        <v>3</v>
      </c>
      <c r="C27" t="s">
        <v>5</v>
      </c>
      <c r="D27" t="s">
        <v>6</v>
      </c>
      <c r="E27" t="s">
        <v>7</v>
      </c>
      <c r="F27" t="s">
        <v>4</v>
      </c>
      <c r="G27" t="s">
        <v>8</v>
      </c>
      <c r="H27" t="s">
        <v>29</v>
      </c>
      <c r="O27" t="s">
        <v>82</v>
      </c>
      <c r="P27">
        <v>2</v>
      </c>
    </row>
    <row r="28" spans="1:16" x14ac:dyDescent="0.3">
      <c r="A28" s="12" t="s">
        <v>32</v>
      </c>
      <c r="B28" s="13">
        <v>4050.15</v>
      </c>
      <c r="C28" s="13">
        <v>900</v>
      </c>
      <c r="D28" s="13">
        <v>688</v>
      </c>
      <c r="E28" s="13"/>
      <c r="F28" s="13"/>
      <c r="G28" s="13">
        <v>200</v>
      </c>
      <c r="H28" s="13">
        <v>5838.15</v>
      </c>
    </row>
    <row r="29" spans="1:16" x14ac:dyDescent="0.3">
      <c r="A29" s="12" t="s">
        <v>33</v>
      </c>
      <c r="B29" s="13">
        <v>3839.8500000000004</v>
      </c>
      <c r="C29" s="13">
        <v>458</v>
      </c>
      <c r="D29" s="13">
        <v>989.8</v>
      </c>
      <c r="E29" s="13">
        <v>798</v>
      </c>
      <c r="F29" s="13">
        <v>639</v>
      </c>
      <c r="G29" s="13">
        <v>100</v>
      </c>
      <c r="H29" s="13">
        <v>6824.6500000000005</v>
      </c>
    </row>
    <row r="30" spans="1:16" x14ac:dyDescent="0.3">
      <c r="A30" s="12" t="s">
        <v>34</v>
      </c>
      <c r="B30" s="13">
        <v>360</v>
      </c>
      <c r="C30" s="13">
        <v>150</v>
      </c>
      <c r="D30" s="13"/>
      <c r="E30" s="13"/>
      <c r="F30" s="13"/>
      <c r="G30" s="13"/>
      <c r="H30" s="13">
        <v>510</v>
      </c>
    </row>
    <row r="31" spans="1:16" x14ac:dyDescent="0.3">
      <c r="A31" s="12" t="s">
        <v>35</v>
      </c>
      <c r="B31" s="13">
        <v>293</v>
      </c>
      <c r="C31" s="13">
        <v>80</v>
      </c>
      <c r="D31" s="13"/>
      <c r="E31" s="13"/>
      <c r="F31" s="13"/>
      <c r="G31" s="13"/>
      <c r="H31" s="13">
        <v>373</v>
      </c>
    </row>
    <row r="32" spans="1:16" x14ac:dyDescent="0.3">
      <c r="A32" s="12" t="s">
        <v>36</v>
      </c>
      <c r="B32" s="13">
        <v>953</v>
      </c>
      <c r="C32" s="13">
        <v>1070</v>
      </c>
      <c r="D32" s="13">
        <v>60</v>
      </c>
      <c r="E32" s="13"/>
      <c r="F32" s="13"/>
      <c r="G32" s="13"/>
      <c r="H32" s="13">
        <v>2083</v>
      </c>
    </row>
    <row r="33" spans="1:8" x14ac:dyDescent="0.3">
      <c r="A33" s="12" t="s">
        <v>37</v>
      </c>
      <c r="B33" s="13">
        <v>305</v>
      </c>
      <c r="C33" s="13"/>
      <c r="D33" s="13">
        <v>42</v>
      </c>
      <c r="E33" s="13"/>
      <c r="F33" s="13"/>
      <c r="G33" s="13"/>
      <c r="H33" s="13">
        <v>347</v>
      </c>
    </row>
    <row r="34" spans="1:8" x14ac:dyDescent="0.3">
      <c r="A34" s="12" t="s">
        <v>38</v>
      </c>
      <c r="B34" s="13">
        <v>15</v>
      </c>
      <c r="C34" s="13"/>
      <c r="D34" s="13">
        <v>214</v>
      </c>
      <c r="E34" s="13"/>
      <c r="F34" s="13"/>
      <c r="G34" s="13"/>
      <c r="H34" s="13">
        <v>229</v>
      </c>
    </row>
    <row r="35" spans="1:8" x14ac:dyDescent="0.3">
      <c r="A35" s="12" t="s">
        <v>39</v>
      </c>
      <c r="B35" s="13">
        <v>535.29999999999995</v>
      </c>
      <c r="C35" s="13"/>
      <c r="D35" s="13"/>
      <c r="E35" s="13"/>
      <c r="F35" s="13"/>
      <c r="G35" s="13"/>
      <c r="H35" s="13">
        <v>535.29999999999995</v>
      </c>
    </row>
    <row r="36" spans="1:8" x14ac:dyDescent="0.3">
      <c r="A36" s="12" t="s">
        <v>40</v>
      </c>
      <c r="B36" s="13">
        <v>747</v>
      </c>
      <c r="C36" s="13"/>
      <c r="D36" s="13"/>
      <c r="E36" s="13"/>
      <c r="F36" s="13"/>
      <c r="G36" s="13"/>
      <c r="H36" s="13">
        <v>747</v>
      </c>
    </row>
    <row r="37" spans="1:8" x14ac:dyDescent="0.3">
      <c r="A37" s="12" t="s">
        <v>41</v>
      </c>
      <c r="B37" s="13">
        <v>508.5</v>
      </c>
      <c r="C37" s="13"/>
      <c r="D37" s="13"/>
      <c r="E37" s="13"/>
      <c r="F37" s="13"/>
      <c r="G37" s="13"/>
      <c r="H37" s="13">
        <v>508.5</v>
      </c>
    </row>
    <row r="38" spans="1:8" x14ac:dyDescent="0.3">
      <c r="A38" s="12" t="s">
        <v>42</v>
      </c>
      <c r="B38" s="13">
        <v>872.75</v>
      </c>
      <c r="C38" s="13">
        <v>479</v>
      </c>
      <c r="D38" s="13"/>
      <c r="E38" s="13"/>
      <c r="F38" s="13">
        <v>70</v>
      </c>
      <c r="G38" s="13"/>
      <c r="H38" s="13">
        <v>1421.75</v>
      </c>
    </row>
    <row r="39" spans="1:8" x14ac:dyDescent="0.3">
      <c r="A39" s="12" t="s">
        <v>29</v>
      </c>
      <c r="B39" s="13">
        <v>12479.55</v>
      </c>
      <c r="C39" s="13">
        <v>3137</v>
      </c>
      <c r="D39" s="13">
        <v>1993.8</v>
      </c>
      <c r="E39" s="13">
        <v>798</v>
      </c>
      <c r="F39" s="13">
        <v>709</v>
      </c>
      <c r="G39" s="13">
        <v>300</v>
      </c>
      <c r="H39" s="13">
        <v>19417.349999999999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2"/>
  <sheetViews>
    <sheetView topLeftCell="C1" zoomScale="82" workbookViewId="0">
      <selection activeCell="H2" sqref="H2:N19"/>
    </sheetView>
  </sheetViews>
  <sheetFormatPr defaultRowHeight="14.4" x14ac:dyDescent="0.3"/>
  <cols>
    <col min="1" max="2" width="14.109375" customWidth="1"/>
    <col min="3" max="3" width="14.21875" customWidth="1"/>
    <col min="4" max="4" width="10.33203125" customWidth="1"/>
    <col min="5" max="5" width="11" customWidth="1"/>
    <col min="6" max="6" width="15.33203125" bestFit="1" customWidth="1"/>
    <col min="7" max="7" width="15.33203125" customWidth="1"/>
    <col min="8" max="8" width="17.33203125" customWidth="1"/>
    <col min="9" max="9" width="12.33203125" customWidth="1"/>
    <col min="10" max="10" width="13.6640625" customWidth="1"/>
    <col min="11" max="11" width="11" customWidth="1"/>
    <col min="12" max="12" width="8.5546875" customWidth="1"/>
    <col min="13" max="13" width="11.6640625" customWidth="1"/>
    <col min="14" max="14" width="11.44140625" customWidth="1"/>
    <col min="15" max="15" width="10.77734375" customWidth="1"/>
    <col min="16" max="56" width="8.5546875" customWidth="1"/>
    <col min="57" max="57" width="10.77734375" customWidth="1"/>
    <col min="58" max="58" width="10.77734375" bestFit="1" customWidth="1"/>
  </cols>
  <sheetData>
    <row r="1" spans="1:17" x14ac:dyDescent="0.3">
      <c r="A1" s="10" t="s">
        <v>0</v>
      </c>
      <c r="B1" s="20" t="s">
        <v>78</v>
      </c>
      <c r="C1" s="10" t="s">
        <v>1</v>
      </c>
      <c r="D1" s="10" t="s">
        <v>2</v>
      </c>
    </row>
    <row r="2" spans="1:17" x14ac:dyDescent="0.3">
      <c r="A2" s="19">
        <v>44562</v>
      </c>
      <c r="B2" s="17">
        <v>44562</v>
      </c>
      <c r="C2" s="5" t="s">
        <v>3</v>
      </c>
      <c r="D2" s="5">
        <v>85</v>
      </c>
      <c r="H2" t="s">
        <v>54</v>
      </c>
    </row>
    <row r="3" spans="1:17" ht="15" thickBot="1" x14ac:dyDescent="0.35">
      <c r="A3" s="19">
        <v>44564</v>
      </c>
      <c r="B3" s="17">
        <v>44564</v>
      </c>
      <c r="C3" s="5" t="s">
        <v>3</v>
      </c>
      <c r="D3" s="5">
        <v>78</v>
      </c>
      <c r="H3" t="s">
        <v>77</v>
      </c>
      <c r="I3">
        <f>CORREL(B2:B111,D2:D111)</f>
        <v>0.27308626179805157</v>
      </c>
    </row>
    <row r="4" spans="1:17" x14ac:dyDescent="0.3">
      <c r="A4" s="19">
        <v>44564</v>
      </c>
      <c r="B4" s="17">
        <v>44564</v>
      </c>
      <c r="C4" s="5" t="s">
        <v>6</v>
      </c>
      <c r="D4" s="5">
        <v>30</v>
      </c>
      <c r="H4" s="18" t="s">
        <v>55</v>
      </c>
      <c r="I4" s="9"/>
      <c r="Q4" s="9"/>
    </row>
    <row r="5" spans="1:17" x14ac:dyDescent="0.3">
      <c r="A5" s="19">
        <v>44564</v>
      </c>
      <c r="B5" s="17">
        <v>44564</v>
      </c>
      <c r="C5" s="5" t="s">
        <v>3</v>
      </c>
      <c r="D5" s="5">
        <v>67</v>
      </c>
      <c r="H5" s="7" t="s">
        <v>56</v>
      </c>
      <c r="I5" s="7">
        <v>0.27308626179805112</v>
      </c>
      <c r="Q5" s="7"/>
    </row>
    <row r="6" spans="1:17" x14ac:dyDescent="0.3">
      <c r="A6" s="19">
        <v>44574</v>
      </c>
      <c r="B6" s="17">
        <v>44574</v>
      </c>
      <c r="C6" s="5" t="s">
        <v>3</v>
      </c>
      <c r="D6" s="5">
        <v>66</v>
      </c>
      <c r="H6" s="7" t="s">
        <v>57</v>
      </c>
      <c r="I6" s="7">
        <v>7.4576106382833712E-2</v>
      </c>
      <c r="Q6" s="7"/>
    </row>
    <row r="7" spans="1:17" x14ac:dyDescent="0.3">
      <c r="A7" s="19">
        <v>44574</v>
      </c>
      <c r="B7" s="17">
        <v>44574</v>
      </c>
      <c r="C7" s="5" t="s">
        <v>6</v>
      </c>
      <c r="D7" s="5">
        <v>43</v>
      </c>
      <c r="H7" s="7" t="s">
        <v>58</v>
      </c>
      <c r="I7" s="7">
        <v>6.6007366627119202E-2</v>
      </c>
      <c r="Q7" s="7"/>
    </row>
    <row r="8" spans="1:17" x14ac:dyDescent="0.3">
      <c r="A8" s="19">
        <v>44576</v>
      </c>
      <c r="B8" s="17">
        <v>44576</v>
      </c>
      <c r="C8" s="5" t="s">
        <v>3</v>
      </c>
      <c r="D8" s="5">
        <v>70</v>
      </c>
      <c r="H8" s="7" t="s">
        <v>14</v>
      </c>
      <c r="I8" s="7">
        <v>138.60903876739803</v>
      </c>
      <c r="Q8" s="7"/>
    </row>
    <row r="9" spans="1:17" ht="15" thickBot="1" x14ac:dyDescent="0.35">
      <c r="A9" s="19">
        <v>44578</v>
      </c>
      <c r="B9" s="17">
        <v>44578</v>
      </c>
      <c r="C9" s="5" t="s">
        <v>3</v>
      </c>
      <c r="D9" s="5">
        <v>100</v>
      </c>
      <c r="H9" s="8" t="s">
        <v>59</v>
      </c>
      <c r="I9" s="8">
        <v>110</v>
      </c>
      <c r="Q9" s="8"/>
    </row>
    <row r="10" spans="1:17" x14ac:dyDescent="0.3">
      <c r="A10" s="19">
        <v>44579</v>
      </c>
      <c r="B10" s="17">
        <v>44579</v>
      </c>
      <c r="C10" s="5" t="s">
        <v>3</v>
      </c>
      <c r="D10" s="5">
        <v>301.14999999999998</v>
      </c>
    </row>
    <row r="11" spans="1:17" ht="15" thickBot="1" x14ac:dyDescent="0.35">
      <c r="A11" s="19">
        <v>44579</v>
      </c>
      <c r="B11" s="17">
        <v>44579</v>
      </c>
      <c r="C11" s="5" t="s">
        <v>3</v>
      </c>
      <c r="D11" s="5">
        <v>59</v>
      </c>
      <c r="H11" t="s">
        <v>60</v>
      </c>
    </row>
    <row r="12" spans="1:17" x14ac:dyDescent="0.3">
      <c r="A12" s="19">
        <v>44579</v>
      </c>
      <c r="B12" s="17">
        <v>44579</v>
      </c>
      <c r="C12" s="5" t="s">
        <v>3</v>
      </c>
      <c r="D12" s="5">
        <v>148</v>
      </c>
      <c r="H12" s="18"/>
      <c r="I12" s="18" t="s">
        <v>65</v>
      </c>
      <c r="J12" s="18" t="s">
        <v>66</v>
      </c>
      <c r="K12" s="18" t="s">
        <v>67</v>
      </c>
      <c r="L12" s="18" t="s">
        <v>68</v>
      </c>
      <c r="M12" s="18" t="s">
        <v>69</v>
      </c>
      <c r="Q12" s="18"/>
    </row>
    <row r="13" spans="1:17" x14ac:dyDescent="0.3">
      <c r="A13" s="19">
        <v>44579</v>
      </c>
      <c r="B13" s="17">
        <v>44579</v>
      </c>
      <c r="C13" s="5" t="s">
        <v>5</v>
      </c>
      <c r="D13" s="5">
        <v>200</v>
      </c>
      <c r="H13" s="7" t="s">
        <v>61</v>
      </c>
      <c r="I13" s="7">
        <v>1</v>
      </c>
      <c r="J13" s="7">
        <v>167211.38946907315</v>
      </c>
      <c r="K13" s="7">
        <v>167211.38946907315</v>
      </c>
      <c r="L13" s="7">
        <v>8.7032759202540628</v>
      </c>
      <c r="M13" s="7">
        <v>3.8953735210871909E-3</v>
      </c>
      <c r="Q13" s="7"/>
    </row>
    <row r="14" spans="1:17" x14ac:dyDescent="0.3">
      <c r="A14" s="19">
        <v>44580</v>
      </c>
      <c r="B14" s="17">
        <v>44580</v>
      </c>
      <c r="C14" s="5" t="s">
        <v>3</v>
      </c>
      <c r="D14" s="5">
        <v>171</v>
      </c>
      <c r="H14" s="7" t="s">
        <v>62</v>
      </c>
      <c r="I14" s="7">
        <v>108</v>
      </c>
      <c r="J14" s="7">
        <v>2074946.2878263812</v>
      </c>
      <c r="K14" s="7">
        <v>19212.465628022048</v>
      </c>
      <c r="L14" s="7"/>
      <c r="M14" s="7"/>
      <c r="Q14" s="7"/>
    </row>
    <row r="15" spans="1:17" ht="15" thickBot="1" x14ac:dyDescent="0.35">
      <c r="A15" s="19">
        <v>44582</v>
      </c>
      <c r="B15" s="17">
        <v>44582</v>
      </c>
      <c r="C15" s="5" t="s">
        <v>3</v>
      </c>
      <c r="D15" s="5">
        <v>188</v>
      </c>
      <c r="H15" s="8" t="s">
        <v>63</v>
      </c>
      <c r="I15" s="8">
        <v>109</v>
      </c>
      <c r="J15" s="8">
        <v>2242157.6772954543</v>
      </c>
      <c r="K15" s="8"/>
      <c r="L15" s="8"/>
      <c r="M15" s="8"/>
      <c r="Q15" s="8"/>
    </row>
    <row r="16" spans="1:17" ht="15" thickBot="1" x14ac:dyDescent="0.35">
      <c r="A16" s="19">
        <v>44582</v>
      </c>
      <c r="B16" s="17">
        <v>44582</v>
      </c>
      <c r="C16" s="5" t="s">
        <v>3</v>
      </c>
      <c r="D16" s="5">
        <v>37</v>
      </c>
    </row>
    <row r="17" spans="1:16" x14ac:dyDescent="0.3">
      <c r="A17" s="19">
        <v>44584</v>
      </c>
      <c r="B17" s="17">
        <v>44584</v>
      </c>
      <c r="C17" s="5" t="s">
        <v>3</v>
      </c>
      <c r="D17" s="5">
        <v>40</v>
      </c>
      <c r="H17" s="18"/>
      <c r="I17" s="18" t="s">
        <v>70</v>
      </c>
      <c r="J17" s="18" t="s">
        <v>14</v>
      </c>
      <c r="K17" s="18" t="s">
        <v>71</v>
      </c>
      <c r="L17" s="18" t="s">
        <v>72</v>
      </c>
      <c r="M17" s="18" t="s">
        <v>73</v>
      </c>
      <c r="N17" s="18" t="s">
        <v>74</v>
      </c>
      <c r="O17" s="18" t="s">
        <v>75</v>
      </c>
      <c r="P17" s="18" t="s">
        <v>76</v>
      </c>
    </row>
    <row r="18" spans="1:16" x14ac:dyDescent="0.3">
      <c r="A18" s="19">
        <v>44584</v>
      </c>
      <c r="B18" s="17">
        <v>44584</v>
      </c>
      <c r="C18" s="5" t="s">
        <v>3</v>
      </c>
      <c r="D18" s="5">
        <v>465</v>
      </c>
      <c r="H18" s="7" t="s">
        <v>64</v>
      </c>
      <c r="I18" s="7">
        <v>-20736.849749604091</v>
      </c>
      <c r="J18" s="7">
        <v>7088.97464144884</v>
      </c>
      <c r="K18" s="7">
        <v>-2.9252255507244849</v>
      </c>
      <c r="L18" s="7">
        <v>4.1958133063068111E-3</v>
      </c>
      <c r="M18" s="7">
        <v>-34788.427307724894</v>
      </c>
      <c r="N18" s="7">
        <v>-6685.272191483291</v>
      </c>
      <c r="O18" s="7">
        <v>-34788.427307724894</v>
      </c>
      <c r="P18" s="7">
        <v>-6685.272191483291</v>
      </c>
    </row>
    <row r="19" spans="1:16" ht="15" thickBot="1" x14ac:dyDescent="0.35">
      <c r="A19" s="19">
        <v>44584</v>
      </c>
      <c r="B19" s="17">
        <v>44584</v>
      </c>
      <c r="C19" s="5" t="s">
        <v>3</v>
      </c>
      <c r="D19" s="5">
        <v>300</v>
      </c>
      <c r="H19" s="8" t="s">
        <v>83</v>
      </c>
      <c r="I19" s="8">
        <v>0.46851621191670467</v>
      </c>
      <c r="J19" s="8">
        <v>0.15881197515811737</v>
      </c>
      <c r="K19" s="8">
        <v>2.9501315089761815</v>
      </c>
      <c r="L19" s="8">
        <v>3.8953735210871571E-3</v>
      </c>
      <c r="M19" s="8">
        <v>0.1537233259265588</v>
      </c>
      <c r="N19" s="8">
        <v>0.78330909790685055</v>
      </c>
      <c r="O19" s="8">
        <v>0.1537233259265588</v>
      </c>
      <c r="P19" s="8">
        <v>0.78330909790685055</v>
      </c>
    </row>
    <row r="20" spans="1:16" x14ac:dyDescent="0.3">
      <c r="A20" s="19">
        <v>44584</v>
      </c>
      <c r="B20" s="17">
        <v>44584</v>
      </c>
      <c r="C20" s="5" t="s">
        <v>3</v>
      </c>
      <c r="D20" s="5">
        <v>302</v>
      </c>
    </row>
    <row r="21" spans="1:16" x14ac:dyDescent="0.3">
      <c r="A21" s="19">
        <v>44584</v>
      </c>
      <c r="B21" s="17">
        <v>44584</v>
      </c>
      <c r="C21" s="5" t="s">
        <v>3</v>
      </c>
      <c r="D21" s="5">
        <v>176</v>
      </c>
    </row>
    <row r="22" spans="1:16" x14ac:dyDescent="0.3">
      <c r="A22" s="19">
        <v>44584</v>
      </c>
      <c r="B22" s="17">
        <v>44584</v>
      </c>
      <c r="C22" s="5" t="s">
        <v>8</v>
      </c>
      <c r="D22" s="5">
        <v>200</v>
      </c>
    </row>
    <row r="23" spans="1:16" x14ac:dyDescent="0.3">
      <c r="A23" s="19">
        <v>44585</v>
      </c>
      <c r="B23" s="17">
        <v>44585</v>
      </c>
      <c r="C23" s="5" t="s">
        <v>3</v>
      </c>
      <c r="D23" s="5">
        <v>40</v>
      </c>
    </row>
    <row r="24" spans="1:16" x14ac:dyDescent="0.3">
      <c r="A24" s="19">
        <v>44585</v>
      </c>
      <c r="B24" s="17">
        <v>44585</v>
      </c>
      <c r="C24" s="5" t="s">
        <v>3</v>
      </c>
      <c r="D24" s="5">
        <v>133</v>
      </c>
    </row>
    <row r="25" spans="1:16" x14ac:dyDescent="0.3">
      <c r="A25" s="19">
        <v>44586</v>
      </c>
      <c r="B25" s="17">
        <v>44586</v>
      </c>
      <c r="C25" s="5" t="s">
        <v>3</v>
      </c>
      <c r="D25" s="5">
        <v>259</v>
      </c>
    </row>
    <row r="26" spans="1:16" x14ac:dyDescent="0.3">
      <c r="A26" s="19">
        <v>44586</v>
      </c>
      <c r="B26" s="17">
        <v>44586</v>
      </c>
      <c r="C26" s="5" t="s">
        <v>3</v>
      </c>
      <c r="D26" s="5">
        <v>18</v>
      </c>
    </row>
    <row r="27" spans="1:16" x14ac:dyDescent="0.3">
      <c r="A27" s="19">
        <v>44586</v>
      </c>
      <c r="B27" s="17">
        <v>44586</v>
      </c>
      <c r="C27" s="5" t="s">
        <v>6</v>
      </c>
      <c r="D27" s="5">
        <v>325</v>
      </c>
    </row>
    <row r="28" spans="1:16" x14ac:dyDescent="0.3">
      <c r="A28" s="19">
        <v>44587</v>
      </c>
      <c r="B28" s="17">
        <v>44587</v>
      </c>
      <c r="C28" s="5" t="s">
        <v>3</v>
      </c>
      <c r="D28" s="5">
        <v>115</v>
      </c>
    </row>
    <row r="29" spans="1:16" x14ac:dyDescent="0.3">
      <c r="A29" s="19">
        <v>44587</v>
      </c>
      <c r="B29" s="17">
        <v>44587</v>
      </c>
      <c r="C29" s="5" t="s">
        <v>3</v>
      </c>
      <c r="D29" s="5">
        <v>25</v>
      </c>
    </row>
    <row r="30" spans="1:16" x14ac:dyDescent="0.3">
      <c r="A30" s="19">
        <v>44588</v>
      </c>
      <c r="B30" s="17">
        <v>44588</v>
      </c>
      <c r="C30" s="5" t="s">
        <v>6</v>
      </c>
      <c r="D30" s="5">
        <v>43</v>
      </c>
    </row>
    <row r="31" spans="1:16" x14ac:dyDescent="0.3">
      <c r="A31" s="19">
        <v>44588</v>
      </c>
      <c r="B31" s="17">
        <v>44588</v>
      </c>
      <c r="C31" s="5" t="s">
        <v>5</v>
      </c>
      <c r="D31" s="5">
        <v>300</v>
      </c>
    </row>
    <row r="32" spans="1:16" x14ac:dyDescent="0.3">
      <c r="A32" s="19">
        <v>44588</v>
      </c>
      <c r="B32" s="17">
        <v>44588</v>
      </c>
      <c r="C32" s="5" t="s">
        <v>5</v>
      </c>
      <c r="D32" s="5">
        <v>100</v>
      </c>
    </row>
    <row r="33" spans="1:8" x14ac:dyDescent="0.3">
      <c r="A33" s="19">
        <v>44588</v>
      </c>
      <c r="B33" s="17">
        <v>44588</v>
      </c>
      <c r="C33" s="5" t="s">
        <v>3</v>
      </c>
      <c r="D33" s="5">
        <v>279</v>
      </c>
    </row>
    <row r="34" spans="1:8" x14ac:dyDescent="0.3">
      <c r="A34" s="19">
        <v>44589</v>
      </c>
      <c r="B34" s="17">
        <v>44589</v>
      </c>
      <c r="C34" s="5" t="s">
        <v>3</v>
      </c>
      <c r="D34" s="5">
        <v>10</v>
      </c>
    </row>
    <row r="35" spans="1:8" x14ac:dyDescent="0.3">
      <c r="A35" s="19">
        <v>44589</v>
      </c>
      <c r="B35" s="17">
        <v>44589</v>
      </c>
      <c r="C35" s="5" t="s">
        <v>3</v>
      </c>
      <c r="D35" s="5">
        <v>138</v>
      </c>
    </row>
    <row r="36" spans="1:8" x14ac:dyDescent="0.3">
      <c r="A36" s="19">
        <v>44590</v>
      </c>
      <c r="B36" s="17">
        <v>44590</v>
      </c>
      <c r="C36" s="5" t="s">
        <v>6</v>
      </c>
      <c r="D36" s="5">
        <v>44</v>
      </c>
    </row>
    <row r="37" spans="1:8" x14ac:dyDescent="0.3">
      <c r="A37" s="19">
        <v>44590</v>
      </c>
      <c r="B37" s="17">
        <v>44590</v>
      </c>
      <c r="C37" s="5" t="s">
        <v>5</v>
      </c>
      <c r="D37" s="5">
        <v>100</v>
      </c>
    </row>
    <row r="38" spans="1:8" x14ac:dyDescent="0.3">
      <c r="A38" s="19">
        <v>44591</v>
      </c>
      <c r="B38" s="17">
        <v>44591</v>
      </c>
      <c r="C38" s="5" t="s">
        <v>3</v>
      </c>
      <c r="D38" s="5">
        <v>155</v>
      </c>
    </row>
    <row r="39" spans="1:8" x14ac:dyDescent="0.3">
      <c r="A39" s="19">
        <v>44591</v>
      </c>
      <c r="B39" s="17">
        <v>44591</v>
      </c>
      <c r="C39" s="5" t="s">
        <v>3</v>
      </c>
      <c r="D39" s="5">
        <v>120</v>
      </c>
      <c r="F39" s="26"/>
      <c r="G39" s="27"/>
      <c r="H39" s="28"/>
    </row>
    <row r="40" spans="1:8" x14ac:dyDescent="0.3">
      <c r="A40" s="19">
        <v>44591</v>
      </c>
      <c r="B40" s="17">
        <v>44591</v>
      </c>
      <c r="C40" s="5" t="s">
        <v>3</v>
      </c>
      <c r="D40" s="5">
        <v>105</v>
      </c>
      <c r="F40" s="29"/>
      <c r="G40" s="30"/>
      <c r="H40" s="31"/>
    </row>
    <row r="41" spans="1:8" x14ac:dyDescent="0.3">
      <c r="A41" s="19">
        <v>44592</v>
      </c>
      <c r="B41" s="17">
        <v>44592</v>
      </c>
      <c r="C41" s="5" t="s">
        <v>6</v>
      </c>
      <c r="D41" s="5">
        <v>50</v>
      </c>
      <c r="F41" s="29"/>
      <c r="G41" s="30"/>
      <c r="H41" s="31"/>
    </row>
    <row r="42" spans="1:8" x14ac:dyDescent="0.3">
      <c r="A42" s="19">
        <v>44592</v>
      </c>
      <c r="B42" s="17">
        <v>44592</v>
      </c>
      <c r="C42" s="5" t="s">
        <v>5</v>
      </c>
      <c r="D42" s="5">
        <v>200</v>
      </c>
      <c r="F42" s="29"/>
      <c r="G42" s="30"/>
      <c r="H42" s="31"/>
    </row>
    <row r="43" spans="1:8" x14ac:dyDescent="0.3">
      <c r="A43" s="19">
        <v>44592</v>
      </c>
      <c r="B43" s="17">
        <v>44592</v>
      </c>
      <c r="C43" s="5" t="s">
        <v>6</v>
      </c>
      <c r="D43" s="5">
        <v>153</v>
      </c>
      <c r="F43" s="29"/>
      <c r="G43" s="30"/>
      <c r="H43" s="31"/>
    </row>
    <row r="44" spans="1:8" x14ac:dyDescent="0.3">
      <c r="A44" s="19">
        <v>44593</v>
      </c>
      <c r="B44" s="17">
        <v>44593</v>
      </c>
      <c r="C44" s="5" t="s">
        <v>5</v>
      </c>
      <c r="D44" s="5">
        <v>8</v>
      </c>
      <c r="F44" s="29"/>
      <c r="G44" s="30"/>
      <c r="H44" s="31"/>
    </row>
    <row r="45" spans="1:8" x14ac:dyDescent="0.3">
      <c r="A45" s="19">
        <v>44593</v>
      </c>
      <c r="B45" s="17">
        <v>44593</v>
      </c>
      <c r="C45" s="5" t="s">
        <v>3</v>
      </c>
      <c r="D45" s="5">
        <v>200</v>
      </c>
      <c r="F45" s="29"/>
      <c r="G45" s="30"/>
      <c r="H45" s="31"/>
    </row>
    <row r="46" spans="1:8" x14ac:dyDescent="0.3">
      <c r="A46" s="19">
        <v>44594</v>
      </c>
      <c r="B46" s="17">
        <v>44594</v>
      </c>
      <c r="C46" s="5" t="s">
        <v>3</v>
      </c>
      <c r="D46" s="5">
        <v>120</v>
      </c>
      <c r="F46" s="29"/>
      <c r="G46" s="30"/>
      <c r="H46" s="31"/>
    </row>
    <row r="47" spans="1:8" x14ac:dyDescent="0.3">
      <c r="A47" s="19">
        <v>44595</v>
      </c>
      <c r="B47" s="17">
        <v>44595</v>
      </c>
      <c r="C47" s="5" t="s">
        <v>3</v>
      </c>
      <c r="D47" s="5">
        <v>50</v>
      </c>
      <c r="F47" s="29"/>
      <c r="G47" s="30"/>
      <c r="H47" s="31"/>
    </row>
    <row r="48" spans="1:8" x14ac:dyDescent="0.3">
      <c r="A48" s="19">
        <v>44595</v>
      </c>
      <c r="B48" s="17">
        <v>44595</v>
      </c>
      <c r="C48" s="5" t="s">
        <v>5</v>
      </c>
      <c r="D48" s="5">
        <v>300</v>
      </c>
      <c r="F48" s="29"/>
      <c r="G48" s="30"/>
      <c r="H48" s="31"/>
    </row>
    <row r="49" spans="1:8" x14ac:dyDescent="0.3">
      <c r="A49" s="19">
        <v>44605</v>
      </c>
      <c r="B49" s="17">
        <v>44605</v>
      </c>
      <c r="C49" s="5" t="s">
        <v>8</v>
      </c>
      <c r="D49" s="5">
        <v>100</v>
      </c>
      <c r="F49" s="29"/>
      <c r="G49" s="30"/>
      <c r="H49" s="31"/>
    </row>
    <row r="50" spans="1:8" x14ac:dyDescent="0.3">
      <c r="A50" s="19">
        <v>44608</v>
      </c>
      <c r="B50" s="17">
        <v>44608</v>
      </c>
      <c r="C50" s="5" t="s">
        <v>3</v>
      </c>
      <c r="D50" s="5">
        <v>165</v>
      </c>
      <c r="F50" s="29"/>
      <c r="G50" s="30"/>
      <c r="H50" s="31"/>
    </row>
    <row r="51" spans="1:8" x14ac:dyDescent="0.3">
      <c r="A51" s="19">
        <v>44608</v>
      </c>
      <c r="B51" s="17">
        <v>44608</v>
      </c>
      <c r="C51" s="5" t="s">
        <v>3</v>
      </c>
      <c r="D51" s="5">
        <v>475</v>
      </c>
      <c r="F51" s="29"/>
      <c r="G51" s="30"/>
      <c r="H51" s="31"/>
    </row>
    <row r="52" spans="1:8" x14ac:dyDescent="0.3">
      <c r="A52" s="19">
        <v>44609</v>
      </c>
      <c r="B52" s="17">
        <v>44609</v>
      </c>
      <c r="C52" s="5" t="s">
        <v>3</v>
      </c>
      <c r="D52" s="5">
        <v>80</v>
      </c>
      <c r="F52" s="29"/>
      <c r="G52" s="30"/>
      <c r="H52" s="31"/>
    </row>
    <row r="53" spans="1:8" x14ac:dyDescent="0.3">
      <c r="A53" s="19">
        <v>44610</v>
      </c>
      <c r="B53" s="17">
        <v>44610</v>
      </c>
      <c r="C53" s="5" t="s">
        <v>3</v>
      </c>
      <c r="D53" s="5">
        <v>348</v>
      </c>
      <c r="F53" s="29"/>
      <c r="G53" s="30"/>
      <c r="H53" s="31"/>
    </row>
    <row r="54" spans="1:8" x14ac:dyDescent="0.3">
      <c r="A54" s="19">
        <v>44611</v>
      </c>
      <c r="B54" s="17">
        <v>44611</v>
      </c>
      <c r="C54" s="5" t="s">
        <v>3</v>
      </c>
      <c r="D54" s="5">
        <v>111</v>
      </c>
      <c r="F54" s="29"/>
      <c r="G54" s="30"/>
      <c r="H54" s="31"/>
    </row>
    <row r="55" spans="1:8" x14ac:dyDescent="0.3">
      <c r="A55" s="19">
        <v>44611</v>
      </c>
      <c r="B55" s="17">
        <v>44611</v>
      </c>
      <c r="C55" s="5" t="s">
        <v>3</v>
      </c>
      <c r="D55" s="5">
        <v>250</v>
      </c>
      <c r="F55" s="29"/>
      <c r="G55" s="30"/>
      <c r="H55" s="31"/>
    </row>
    <row r="56" spans="1:8" x14ac:dyDescent="0.3">
      <c r="A56" s="19">
        <v>44611</v>
      </c>
      <c r="B56" s="17">
        <v>44611</v>
      </c>
      <c r="C56" s="5" t="s">
        <v>6</v>
      </c>
      <c r="D56" s="5">
        <v>200</v>
      </c>
      <c r="F56" s="32"/>
      <c r="G56" s="33"/>
      <c r="H56" s="34"/>
    </row>
    <row r="57" spans="1:8" x14ac:dyDescent="0.3">
      <c r="A57" s="19">
        <v>44611</v>
      </c>
      <c r="B57" s="17">
        <v>44611</v>
      </c>
      <c r="C57" s="5" t="s">
        <v>3</v>
      </c>
      <c r="D57" s="5">
        <v>380</v>
      </c>
    </row>
    <row r="58" spans="1:8" x14ac:dyDescent="0.3">
      <c r="A58" s="19">
        <v>44611</v>
      </c>
      <c r="B58" s="17">
        <v>44611</v>
      </c>
      <c r="C58" s="5" t="s">
        <v>6</v>
      </c>
      <c r="D58" s="5">
        <v>60</v>
      </c>
    </row>
    <row r="59" spans="1:8" x14ac:dyDescent="0.3">
      <c r="A59" s="19">
        <v>44611</v>
      </c>
      <c r="B59" s="17">
        <v>44611</v>
      </c>
      <c r="C59" s="5" t="s">
        <v>5</v>
      </c>
      <c r="D59" s="5">
        <v>50</v>
      </c>
    </row>
    <row r="60" spans="1:8" x14ac:dyDescent="0.3">
      <c r="A60" s="19">
        <v>44611</v>
      </c>
      <c r="B60" s="17">
        <v>44611</v>
      </c>
      <c r="C60" s="5" t="s">
        <v>6</v>
      </c>
      <c r="D60" s="5">
        <v>270</v>
      </c>
    </row>
    <row r="61" spans="1:8" x14ac:dyDescent="0.3">
      <c r="A61" s="19">
        <v>44612</v>
      </c>
      <c r="B61" s="17">
        <v>44612</v>
      </c>
      <c r="C61" s="5" t="s">
        <v>3</v>
      </c>
      <c r="D61" s="5">
        <v>200</v>
      </c>
    </row>
    <row r="62" spans="1:8" x14ac:dyDescent="0.3">
      <c r="A62" s="19">
        <v>44613</v>
      </c>
      <c r="B62" s="17">
        <v>44613</v>
      </c>
      <c r="C62" s="5" t="s">
        <v>6</v>
      </c>
      <c r="D62" s="5">
        <v>138</v>
      </c>
    </row>
    <row r="63" spans="1:8" x14ac:dyDescent="0.3">
      <c r="A63" s="19">
        <v>44613</v>
      </c>
      <c r="B63" s="17">
        <v>44613</v>
      </c>
      <c r="C63" s="5" t="s">
        <v>4</v>
      </c>
      <c r="D63" s="5">
        <v>336</v>
      </c>
    </row>
    <row r="64" spans="1:8" x14ac:dyDescent="0.3">
      <c r="A64" s="19">
        <v>44613</v>
      </c>
      <c r="B64" s="17">
        <v>44613</v>
      </c>
      <c r="C64" s="5" t="s">
        <v>6</v>
      </c>
      <c r="D64" s="5">
        <v>201.8</v>
      </c>
    </row>
    <row r="65" spans="1:4" x14ac:dyDescent="0.3">
      <c r="A65" s="19">
        <v>44614</v>
      </c>
      <c r="B65" s="17">
        <v>44614</v>
      </c>
      <c r="C65" s="5" t="s">
        <v>6</v>
      </c>
      <c r="D65" s="5">
        <v>120</v>
      </c>
    </row>
    <row r="66" spans="1:4" x14ac:dyDescent="0.3">
      <c r="A66" s="19">
        <v>44615</v>
      </c>
      <c r="B66" s="17">
        <v>44615</v>
      </c>
      <c r="C66" s="5" t="s">
        <v>7</v>
      </c>
      <c r="D66" s="5">
        <v>399</v>
      </c>
    </row>
    <row r="67" spans="1:4" x14ac:dyDescent="0.3">
      <c r="A67" s="19">
        <v>44615</v>
      </c>
      <c r="B67" s="17">
        <v>44615</v>
      </c>
      <c r="C67" s="5" t="s">
        <v>3</v>
      </c>
      <c r="D67" s="5">
        <v>83</v>
      </c>
    </row>
    <row r="68" spans="1:4" x14ac:dyDescent="0.3">
      <c r="A68" s="19">
        <v>44615</v>
      </c>
      <c r="B68" s="17">
        <v>44615</v>
      </c>
      <c r="C68" s="5" t="s">
        <v>7</v>
      </c>
      <c r="D68" s="5">
        <v>399</v>
      </c>
    </row>
    <row r="69" spans="1:4" x14ac:dyDescent="0.3">
      <c r="A69" s="19">
        <v>44616</v>
      </c>
      <c r="B69" s="17">
        <v>44616</v>
      </c>
      <c r="C69" s="5" t="s">
        <v>4</v>
      </c>
      <c r="D69" s="5">
        <v>303</v>
      </c>
    </row>
    <row r="70" spans="1:4" x14ac:dyDescent="0.3">
      <c r="A70" s="19">
        <v>44616</v>
      </c>
      <c r="B70" s="17">
        <v>44616</v>
      </c>
      <c r="C70" s="5" t="s">
        <v>3</v>
      </c>
      <c r="D70" s="5">
        <v>289</v>
      </c>
    </row>
    <row r="71" spans="1:4" x14ac:dyDescent="0.3">
      <c r="A71" s="19">
        <v>44616</v>
      </c>
      <c r="B71" s="17">
        <v>44616</v>
      </c>
      <c r="C71" s="5" t="s">
        <v>3</v>
      </c>
      <c r="D71" s="5">
        <v>324.7</v>
      </c>
    </row>
    <row r="72" spans="1:4" x14ac:dyDescent="0.3">
      <c r="A72" s="19">
        <v>44617</v>
      </c>
      <c r="B72" s="17">
        <v>44617</v>
      </c>
      <c r="C72" s="5" t="s">
        <v>3</v>
      </c>
      <c r="D72" s="5">
        <v>33</v>
      </c>
    </row>
    <row r="73" spans="1:4" x14ac:dyDescent="0.3">
      <c r="A73" s="19">
        <v>44618</v>
      </c>
      <c r="B73" s="17">
        <v>44618</v>
      </c>
      <c r="C73" s="5" t="s">
        <v>3</v>
      </c>
      <c r="D73" s="5">
        <v>25</v>
      </c>
    </row>
    <row r="74" spans="1:4" x14ac:dyDescent="0.3">
      <c r="A74" s="19">
        <v>44618</v>
      </c>
      <c r="B74" s="17">
        <v>44618</v>
      </c>
      <c r="C74" s="5" t="s">
        <v>5</v>
      </c>
      <c r="D74" s="5">
        <v>100</v>
      </c>
    </row>
    <row r="75" spans="1:4" x14ac:dyDescent="0.3">
      <c r="A75" s="19">
        <v>44618</v>
      </c>
      <c r="B75" s="17">
        <v>44618</v>
      </c>
      <c r="C75" s="5" t="s">
        <v>3</v>
      </c>
      <c r="D75" s="5">
        <v>40</v>
      </c>
    </row>
    <row r="76" spans="1:4" x14ac:dyDescent="0.3">
      <c r="A76" s="19">
        <v>44618</v>
      </c>
      <c r="B76" s="17">
        <v>44618</v>
      </c>
      <c r="C76" s="5" t="s">
        <v>3</v>
      </c>
      <c r="D76" s="5">
        <v>84</v>
      </c>
    </row>
    <row r="77" spans="1:4" x14ac:dyDescent="0.3">
      <c r="A77" s="19">
        <v>44619</v>
      </c>
      <c r="B77" s="17">
        <v>44619</v>
      </c>
      <c r="C77" s="5" t="s">
        <v>3</v>
      </c>
      <c r="D77" s="5">
        <v>243</v>
      </c>
    </row>
    <row r="78" spans="1:4" x14ac:dyDescent="0.3">
      <c r="A78" s="19">
        <v>44620</v>
      </c>
      <c r="B78" s="17">
        <v>44620</v>
      </c>
      <c r="C78" s="5" t="s">
        <v>3</v>
      </c>
      <c r="D78" s="5">
        <v>339.15</v>
      </c>
    </row>
    <row r="79" spans="1:4" x14ac:dyDescent="0.3">
      <c r="A79" s="19">
        <v>44621</v>
      </c>
      <c r="B79" s="17">
        <v>44621</v>
      </c>
      <c r="C79" s="5" t="s">
        <v>3</v>
      </c>
      <c r="D79" s="5">
        <v>10</v>
      </c>
    </row>
    <row r="80" spans="1:4" x14ac:dyDescent="0.3">
      <c r="A80" s="19">
        <v>44621</v>
      </c>
      <c r="B80" s="17">
        <v>44621</v>
      </c>
      <c r="C80" s="5" t="s">
        <v>3</v>
      </c>
      <c r="D80" s="5">
        <v>300</v>
      </c>
    </row>
    <row r="81" spans="1:4" x14ac:dyDescent="0.3">
      <c r="A81" s="19">
        <v>44622</v>
      </c>
      <c r="B81" s="17">
        <v>44622</v>
      </c>
      <c r="C81" s="5" t="s">
        <v>3</v>
      </c>
      <c r="D81" s="5">
        <v>50</v>
      </c>
    </row>
    <row r="82" spans="1:4" x14ac:dyDescent="0.3">
      <c r="A82" s="19">
        <v>44622</v>
      </c>
      <c r="B82" s="17">
        <v>44622</v>
      </c>
      <c r="C82" s="5" t="s">
        <v>5</v>
      </c>
      <c r="D82" s="5">
        <v>150</v>
      </c>
    </row>
    <row r="83" spans="1:4" x14ac:dyDescent="0.3">
      <c r="A83" s="19">
        <v>44652</v>
      </c>
      <c r="B83" s="17">
        <v>44652</v>
      </c>
      <c r="C83" s="5" t="s">
        <v>3</v>
      </c>
      <c r="D83" s="5">
        <v>106</v>
      </c>
    </row>
    <row r="84" spans="1:4" x14ac:dyDescent="0.3">
      <c r="A84" s="19">
        <v>44652</v>
      </c>
      <c r="B84" s="17">
        <v>44652</v>
      </c>
      <c r="C84" s="5" t="s">
        <v>5</v>
      </c>
      <c r="D84" s="5">
        <v>80</v>
      </c>
    </row>
    <row r="85" spans="1:4" x14ac:dyDescent="0.3">
      <c r="A85" s="19">
        <v>44652</v>
      </c>
      <c r="B85" s="17">
        <v>44652</v>
      </c>
      <c r="C85" s="5" t="s">
        <v>3</v>
      </c>
      <c r="D85" s="5">
        <v>107</v>
      </c>
    </row>
    <row r="86" spans="1:4" x14ac:dyDescent="0.3">
      <c r="A86" s="19">
        <v>44653</v>
      </c>
      <c r="B86" s="17">
        <v>44653</v>
      </c>
      <c r="C86" s="5" t="s">
        <v>3</v>
      </c>
      <c r="D86" s="5">
        <v>80</v>
      </c>
    </row>
    <row r="87" spans="1:4" x14ac:dyDescent="0.3">
      <c r="A87" s="19">
        <v>44682</v>
      </c>
      <c r="B87" s="17">
        <v>44682</v>
      </c>
      <c r="C87" s="5" t="s">
        <v>3</v>
      </c>
      <c r="D87" s="5">
        <v>211</v>
      </c>
    </row>
    <row r="88" spans="1:4" x14ac:dyDescent="0.3">
      <c r="A88" s="19">
        <v>44682</v>
      </c>
      <c r="B88" s="17">
        <v>44682</v>
      </c>
      <c r="C88" s="5" t="s">
        <v>5</v>
      </c>
      <c r="D88" s="5">
        <v>40</v>
      </c>
    </row>
    <row r="89" spans="1:4" x14ac:dyDescent="0.3">
      <c r="A89" s="19">
        <v>44682</v>
      </c>
      <c r="B89" s="17">
        <v>44682</v>
      </c>
      <c r="C89" s="5" t="s">
        <v>5</v>
      </c>
      <c r="D89" s="5">
        <v>30</v>
      </c>
    </row>
    <row r="90" spans="1:4" x14ac:dyDescent="0.3">
      <c r="A90" s="19">
        <v>44682</v>
      </c>
      <c r="B90" s="17">
        <v>44682</v>
      </c>
      <c r="C90" s="5" t="s">
        <v>3</v>
      </c>
      <c r="D90" s="5">
        <v>354</v>
      </c>
    </row>
    <row r="91" spans="1:4" x14ac:dyDescent="0.3">
      <c r="A91" s="19">
        <v>44682</v>
      </c>
      <c r="B91" s="17">
        <v>44682</v>
      </c>
      <c r="C91" s="5" t="s">
        <v>5</v>
      </c>
      <c r="D91" s="5">
        <v>500</v>
      </c>
    </row>
    <row r="92" spans="1:4" x14ac:dyDescent="0.3">
      <c r="A92" s="19">
        <v>44682</v>
      </c>
      <c r="B92" s="17">
        <v>44682</v>
      </c>
      <c r="C92" s="5" t="s">
        <v>5</v>
      </c>
      <c r="D92" s="5">
        <v>500</v>
      </c>
    </row>
    <row r="93" spans="1:4" x14ac:dyDescent="0.3">
      <c r="A93" s="19">
        <v>44682</v>
      </c>
      <c r="B93" s="17">
        <v>44682</v>
      </c>
      <c r="C93" s="5" t="s">
        <v>6</v>
      </c>
      <c r="D93" s="5">
        <v>60</v>
      </c>
    </row>
    <row r="94" spans="1:4" x14ac:dyDescent="0.3">
      <c r="A94" s="19">
        <v>44682</v>
      </c>
      <c r="B94" s="17">
        <v>44682</v>
      </c>
      <c r="C94" s="5" t="s">
        <v>3</v>
      </c>
      <c r="D94" s="5">
        <v>388</v>
      </c>
    </row>
    <row r="95" spans="1:4" x14ac:dyDescent="0.3">
      <c r="A95" s="19">
        <v>44713</v>
      </c>
      <c r="B95" s="17">
        <v>44713</v>
      </c>
      <c r="C95" s="5" t="s">
        <v>3</v>
      </c>
      <c r="D95" s="5">
        <v>20</v>
      </c>
    </row>
    <row r="96" spans="1:4" x14ac:dyDescent="0.3">
      <c r="A96" s="19">
        <v>44713</v>
      </c>
      <c r="B96" s="17">
        <v>44713</v>
      </c>
      <c r="C96" s="5" t="s">
        <v>3</v>
      </c>
      <c r="D96" s="5">
        <v>10</v>
      </c>
    </row>
    <row r="97" spans="1:4" x14ac:dyDescent="0.3">
      <c r="A97" s="19">
        <v>44713</v>
      </c>
      <c r="B97" s="17">
        <v>44713</v>
      </c>
      <c r="C97" s="5" t="s">
        <v>6</v>
      </c>
      <c r="D97" s="5">
        <v>42</v>
      </c>
    </row>
    <row r="98" spans="1:4" x14ac:dyDescent="0.3">
      <c r="A98" s="19">
        <v>44714</v>
      </c>
      <c r="B98" s="17">
        <v>44714</v>
      </c>
      <c r="C98" s="5" t="s">
        <v>3</v>
      </c>
      <c r="D98" s="5">
        <v>125</v>
      </c>
    </row>
    <row r="99" spans="1:4" x14ac:dyDescent="0.3">
      <c r="A99" s="19">
        <v>44714</v>
      </c>
      <c r="B99" s="17">
        <v>44714</v>
      </c>
      <c r="C99" s="5" t="s">
        <v>3</v>
      </c>
      <c r="D99" s="5">
        <v>150</v>
      </c>
    </row>
    <row r="100" spans="1:4" x14ac:dyDescent="0.3">
      <c r="A100" s="19">
        <v>44743</v>
      </c>
      <c r="B100" s="17">
        <v>44743</v>
      </c>
      <c r="C100" s="5" t="s">
        <v>3</v>
      </c>
      <c r="D100" s="5">
        <v>15</v>
      </c>
    </row>
    <row r="101" spans="1:4" x14ac:dyDescent="0.3">
      <c r="A101" s="19">
        <v>44744</v>
      </c>
      <c r="B101" s="17">
        <v>44744</v>
      </c>
      <c r="C101" s="5" t="s">
        <v>6</v>
      </c>
      <c r="D101" s="5">
        <v>214</v>
      </c>
    </row>
    <row r="102" spans="1:4" x14ac:dyDescent="0.3">
      <c r="A102" s="19">
        <v>44774</v>
      </c>
      <c r="B102" s="17">
        <v>44774</v>
      </c>
      <c r="C102" s="5" t="s">
        <v>3</v>
      </c>
      <c r="D102" s="5">
        <v>535.29999999999995</v>
      </c>
    </row>
    <row r="103" spans="1:4" x14ac:dyDescent="0.3">
      <c r="A103" s="19">
        <v>44835</v>
      </c>
      <c r="B103" s="17">
        <v>44835</v>
      </c>
      <c r="C103" s="5" t="s">
        <v>3</v>
      </c>
      <c r="D103" s="5">
        <v>106</v>
      </c>
    </row>
    <row r="104" spans="1:4" x14ac:dyDescent="0.3">
      <c r="A104" s="19">
        <v>44836</v>
      </c>
      <c r="B104" s="17">
        <v>44836</v>
      </c>
      <c r="C104" s="5" t="s">
        <v>3</v>
      </c>
      <c r="D104" s="5">
        <v>641</v>
      </c>
    </row>
    <row r="105" spans="1:4" x14ac:dyDescent="0.3">
      <c r="A105" s="19">
        <v>44866</v>
      </c>
      <c r="B105" s="17">
        <v>44866</v>
      </c>
      <c r="C105" s="5" t="s">
        <v>3</v>
      </c>
      <c r="D105" s="5">
        <v>135.5</v>
      </c>
    </row>
    <row r="106" spans="1:4" x14ac:dyDescent="0.3">
      <c r="A106" s="19">
        <v>44867</v>
      </c>
      <c r="B106" s="17">
        <v>44867</v>
      </c>
      <c r="C106" s="5" t="s">
        <v>3</v>
      </c>
      <c r="D106" s="5">
        <v>373</v>
      </c>
    </row>
    <row r="107" spans="1:4" x14ac:dyDescent="0.3">
      <c r="A107" s="19">
        <v>44896</v>
      </c>
      <c r="B107" s="17">
        <v>44896</v>
      </c>
      <c r="C107" s="5" t="s">
        <v>5</v>
      </c>
      <c r="D107" s="5">
        <v>479</v>
      </c>
    </row>
    <row r="108" spans="1:4" x14ac:dyDescent="0.3">
      <c r="A108" s="19">
        <v>44896</v>
      </c>
      <c r="B108" s="17">
        <v>44896</v>
      </c>
      <c r="C108" s="5" t="s">
        <v>3</v>
      </c>
      <c r="D108" s="5">
        <v>301.75</v>
      </c>
    </row>
    <row r="109" spans="1:4" x14ac:dyDescent="0.3">
      <c r="A109" s="19">
        <v>44897</v>
      </c>
      <c r="B109" s="17">
        <v>44897</v>
      </c>
      <c r="C109" s="5" t="s">
        <v>3</v>
      </c>
      <c r="D109" s="5">
        <v>491</v>
      </c>
    </row>
    <row r="110" spans="1:4" x14ac:dyDescent="0.3">
      <c r="A110" s="19">
        <v>44897</v>
      </c>
      <c r="B110" s="17">
        <v>44897</v>
      </c>
      <c r="C110" s="5" t="s">
        <v>4</v>
      </c>
      <c r="D110" s="5">
        <v>70</v>
      </c>
    </row>
    <row r="111" spans="1:4" x14ac:dyDescent="0.3">
      <c r="A111" s="19">
        <v>44897</v>
      </c>
      <c r="B111" s="17">
        <v>44897</v>
      </c>
      <c r="C111" s="5" t="s">
        <v>3</v>
      </c>
      <c r="D111" s="5">
        <v>80</v>
      </c>
    </row>
    <row r="112" spans="1:4" x14ac:dyDescent="0.3">
      <c r="A112" s="21"/>
      <c r="B112" s="22"/>
      <c r="C112" s="23"/>
      <c r="D112" s="23">
        <f>SUM(Table1[Amount])</f>
        <v>19417.349999999999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9"/>
  <sheetViews>
    <sheetView topLeftCell="G16" zoomScale="65" workbookViewId="0">
      <selection activeCell="M34" sqref="M34:U57"/>
    </sheetView>
  </sheetViews>
  <sheetFormatPr defaultRowHeight="14.4" x14ac:dyDescent="0.3"/>
  <cols>
    <col min="1" max="2" width="13.21875" customWidth="1"/>
    <col min="3" max="3" width="12.33203125" customWidth="1"/>
    <col min="4" max="4" width="14.109375" customWidth="1"/>
    <col min="5" max="7" width="10.109375" customWidth="1"/>
    <col min="8" max="8" width="13.21875" customWidth="1"/>
    <col min="9" max="9" width="14.44140625" bestFit="1" customWidth="1"/>
    <col min="10" max="10" width="10.109375" customWidth="1"/>
  </cols>
  <sheetData>
    <row r="1" spans="1:21" x14ac:dyDescent="0.3">
      <c r="A1" s="2" t="s">
        <v>0</v>
      </c>
      <c r="B1" s="2" t="s">
        <v>1</v>
      </c>
      <c r="C1" s="3" t="s">
        <v>2</v>
      </c>
      <c r="D1" s="10" t="s">
        <v>81</v>
      </c>
      <c r="E1" t="s">
        <v>3</v>
      </c>
      <c r="F1" t="s">
        <v>6</v>
      </c>
      <c r="G1" t="s">
        <v>79</v>
      </c>
      <c r="H1" t="s">
        <v>80</v>
      </c>
      <c r="I1" t="s">
        <v>7</v>
      </c>
      <c r="J1" t="s">
        <v>4</v>
      </c>
    </row>
    <row r="2" spans="1:21" ht="15" thickBot="1" x14ac:dyDescent="0.35">
      <c r="A2" s="19">
        <v>44562</v>
      </c>
      <c r="B2" s="5" t="s">
        <v>3</v>
      </c>
      <c r="C2" s="6">
        <v>85</v>
      </c>
      <c r="D2" s="25">
        <v>44562</v>
      </c>
      <c r="E2">
        <f>IF($B2="Food",1,0)</f>
        <v>1</v>
      </c>
      <c r="F2">
        <f>IF($B2="Transportation",1,0)</f>
        <v>0</v>
      </c>
      <c r="G2">
        <f t="shared" ref="G2:G33" si="0">IF($B2="Other",1,0)</f>
        <v>0</v>
      </c>
      <c r="H2">
        <f t="shared" ref="H2:H33" si="1">IF($B2="Social Life",1,0)</f>
        <v>0</v>
      </c>
      <c r="I2">
        <f t="shared" ref="I2:I33" si="2">IF($B2="Apparel",1,0)</f>
        <v>0</v>
      </c>
      <c r="J2">
        <f t="shared" ref="J2:J33" si="3">IF($B2="Household",1,0)</f>
        <v>0</v>
      </c>
    </row>
    <row r="3" spans="1:21" x14ac:dyDescent="0.3">
      <c r="A3" s="19">
        <v>44564</v>
      </c>
      <c r="B3" s="5" t="s">
        <v>3</v>
      </c>
      <c r="C3" s="6">
        <v>78</v>
      </c>
      <c r="D3" s="25">
        <v>44564</v>
      </c>
      <c r="E3">
        <f t="shared" ref="E3:E66" si="4">IF($B3="Food",1,0)</f>
        <v>1</v>
      </c>
      <c r="F3">
        <f t="shared" ref="F3:F66" si="5">IF($B3="Transportation",1,0)</f>
        <v>0</v>
      </c>
      <c r="G3">
        <f t="shared" si="0"/>
        <v>0</v>
      </c>
      <c r="H3" s="24">
        <f>IF($B3="Social Life",1,0)</f>
        <v>0</v>
      </c>
      <c r="I3" s="13">
        <f t="shared" si="2"/>
        <v>0</v>
      </c>
      <c r="J3">
        <f t="shared" si="3"/>
        <v>0</v>
      </c>
      <c r="M3" s="9"/>
      <c r="N3" s="9"/>
    </row>
    <row r="4" spans="1:21" x14ac:dyDescent="0.3">
      <c r="A4" s="19">
        <v>44564</v>
      </c>
      <c r="B4" s="5" t="s">
        <v>6</v>
      </c>
      <c r="C4" s="6">
        <v>30</v>
      </c>
      <c r="D4" s="25">
        <v>44564</v>
      </c>
      <c r="E4">
        <f t="shared" si="4"/>
        <v>0</v>
      </c>
      <c r="F4">
        <f t="shared" si="5"/>
        <v>1</v>
      </c>
      <c r="G4">
        <f t="shared" si="0"/>
        <v>0</v>
      </c>
      <c r="H4" s="24">
        <f t="shared" si="1"/>
        <v>0</v>
      </c>
      <c r="I4" s="13">
        <f t="shared" si="2"/>
        <v>0</v>
      </c>
      <c r="J4">
        <f t="shared" si="3"/>
        <v>0</v>
      </c>
      <c r="M4" s="7"/>
      <c r="N4" s="7"/>
    </row>
    <row r="5" spans="1:21" x14ac:dyDescent="0.3">
      <c r="A5" s="19">
        <v>44564</v>
      </c>
      <c r="B5" s="5" t="s">
        <v>3</v>
      </c>
      <c r="C5" s="6">
        <v>67</v>
      </c>
      <c r="D5" s="25">
        <v>44564</v>
      </c>
      <c r="E5">
        <f t="shared" si="4"/>
        <v>1</v>
      </c>
      <c r="F5">
        <f t="shared" si="5"/>
        <v>0</v>
      </c>
      <c r="G5">
        <f t="shared" si="0"/>
        <v>0</v>
      </c>
      <c r="H5" s="24">
        <f t="shared" si="1"/>
        <v>0</v>
      </c>
      <c r="I5" s="13">
        <f t="shared" si="2"/>
        <v>0</v>
      </c>
      <c r="J5">
        <f t="shared" si="3"/>
        <v>0</v>
      </c>
      <c r="M5" s="7"/>
      <c r="N5" s="7"/>
    </row>
    <row r="6" spans="1:21" x14ac:dyDescent="0.3">
      <c r="A6" s="19">
        <v>44574</v>
      </c>
      <c r="B6" s="5" t="s">
        <v>3</v>
      </c>
      <c r="C6" s="6">
        <v>66</v>
      </c>
      <c r="D6" s="25">
        <v>44574</v>
      </c>
      <c r="E6">
        <f t="shared" si="4"/>
        <v>1</v>
      </c>
      <c r="F6">
        <f t="shared" si="5"/>
        <v>0</v>
      </c>
      <c r="G6">
        <f t="shared" si="0"/>
        <v>0</v>
      </c>
      <c r="H6" s="24">
        <f t="shared" si="1"/>
        <v>0</v>
      </c>
      <c r="I6" s="13">
        <f t="shared" si="2"/>
        <v>0</v>
      </c>
      <c r="J6">
        <f t="shared" si="3"/>
        <v>0</v>
      </c>
      <c r="M6" s="7"/>
      <c r="N6" s="7"/>
    </row>
    <row r="7" spans="1:21" x14ac:dyDescent="0.3">
      <c r="A7" s="19">
        <v>44574</v>
      </c>
      <c r="B7" s="5" t="s">
        <v>6</v>
      </c>
      <c r="C7" s="6">
        <v>43</v>
      </c>
      <c r="D7" s="25">
        <v>44574</v>
      </c>
      <c r="E7">
        <f t="shared" si="4"/>
        <v>0</v>
      </c>
      <c r="F7">
        <f t="shared" si="5"/>
        <v>1</v>
      </c>
      <c r="G7">
        <f t="shared" si="0"/>
        <v>0</v>
      </c>
      <c r="H7" s="24">
        <f t="shared" si="1"/>
        <v>0</v>
      </c>
      <c r="I7" s="13">
        <f t="shared" si="2"/>
        <v>0</v>
      </c>
      <c r="J7">
        <f t="shared" si="3"/>
        <v>0</v>
      </c>
      <c r="M7" s="7"/>
      <c r="N7" s="7"/>
    </row>
    <row r="8" spans="1:21" ht="15" thickBot="1" x14ac:dyDescent="0.35">
      <c r="A8" s="19">
        <v>44576</v>
      </c>
      <c r="B8" s="5" t="s">
        <v>3</v>
      </c>
      <c r="C8" s="6">
        <v>70</v>
      </c>
      <c r="D8" s="25">
        <v>44576</v>
      </c>
      <c r="E8">
        <f t="shared" si="4"/>
        <v>1</v>
      </c>
      <c r="F8">
        <f t="shared" si="5"/>
        <v>0</v>
      </c>
      <c r="G8">
        <f t="shared" si="0"/>
        <v>0</v>
      </c>
      <c r="H8" s="24">
        <f t="shared" si="1"/>
        <v>0</v>
      </c>
      <c r="I8" s="13">
        <f t="shared" si="2"/>
        <v>0</v>
      </c>
      <c r="J8">
        <f t="shared" si="3"/>
        <v>0</v>
      </c>
      <c r="M8" s="8"/>
      <c r="N8" s="8"/>
    </row>
    <row r="9" spans="1:21" x14ac:dyDescent="0.3">
      <c r="A9" s="19">
        <v>44578</v>
      </c>
      <c r="B9" s="5" t="s">
        <v>3</v>
      </c>
      <c r="C9" s="6">
        <v>100</v>
      </c>
      <c r="D9" s="25">
        <v>44578</v>
      </c>
      <c r="E9">
        <f t="shared" si="4"/>
        <v>1</v>
      </c>
      <c r="F9">
        <f t="shared" si="5"/>
        <v>0</v>
      </c>
      <c r="G9">
        <f t="shared" si="0"/>
        <v>0</v>
      </c>
      <c r="H9" s="24">
        <f t="shared" si="1"/>
        <v>0</v>
      </c>
      <c r="I9" s="13">
        <f t="shared" si="2"/>
        <v>0</v>
      </c>
      <c r="J9">
        <f t="shared" si="3"/>
        <v>0</v>
      </c>
    </row>
    <row r="10" spans="1:21" ht="15" thickBot="1" x14ac:dyDescent="0.35">
      <c r="A10" s="19">
        <v>44579</v>
      </c>
      <c r="B10" s="5" t="s">
        <v>3</v>
      </c>
      <c r="C10" s="6">
        <v>301.14999999999998</v>
      </c>
      <c r="D10" s="25">
        <v>44579</v>
      </c>
      <c r="E10">
        <f t="shared" si="4"/>
        <v>1</v>
      </c>
      <c r="F10">
        <f t="shared" si="5"/>
        <v>0</v>
      </c>
      <c r="G10">
        <f t="shared" si="0"/>
        <v>0</v>
      </c>
      <c r="H10">
        <f t="shared" si="1"/>
        <v>0</v>
      </c>
      <c r="I10">
        <f t="shared" si="2"/>
        <v>0</v>
      </c>
      <c r="J10">
        <f t="shared" si="3"/>
        <v>0</v>
      </c>
    </row>
    <row r="11" spans="1:21" x14ac:dyDescent="0.3">
      <c r="A11" s="19">
        <v>44579</v>
      </c>
      <c r="B11" s="5" t="s">
        <v>3</v>
      </c>
      <c r="C11" s="6">
        <v>59</v>
      </c>
      <c r="D11" s="25">
        <v>44579</v>
      </c>
      <c r="E11">
        <f t="shared" si="4"/>
        <v>1</v>
      </c>
      <c r="F11">
        <f t="shared" si="5"/>
        <v>0</v>
      </c>
      <c r="G11">
        <f t="shared" si="0"/>
        <v>0</v>
      </c>
      <c r="H11">
        <f t="shared" si="1"/>
        <v>0</v>
      </c>
      <c r="I11">
        <f t="shared" si="2"/>
        <v>0</v>
      </c>
      <c r="J11">
        <f t="shared" si="3"/>
        <v>0</v>
      </c>
      <c r="M11" s="18"/>
      <c r="N11" s="18"/>
      <c r="O11" s="18"/>
      <c r="P11" s="18"/>
      <c r="Q11" s="18"/>
      <c r="R11" s="18"/>
    </row>
    <row r="12" spans="1:21" x14ac:dyDescent="0.3">
      <c r="A12" s="19">
        <v>44579</v>
      </c>
      <c r="B12" s="5" t="s">
        <v>3</v>
      </c>
      <c r="C12" s="6">
        <v>148</v>
      </c>
      <c r="D12" s="25">
        <v>44579</v>
      </c>
      <c r="E12">
        <f t="shared" si="4"/>
        <v>1</v>
      </c>
      <c r="F12">
        <f t="shared" si="5"/>
        <v>0</v>
      </c>
      <c r="G12">
        <f t="shared" si="0"/>
        <v>0</v>
      </c>
      <c r="H12">
        <f t="shared" si="1"/>
        <v>0</v>
      </c>
      <c r="I12">
        <f t="shared" si="2"/>
        <v>0</v>
      </c>
      <c r="J12">
        <f t="shared" si="3"/>
        <v>0</v>
      </c>
      <c r="M12" s="7"/>
      <c r="N12" s="7"/>
      <c r="O12" s="7"/>
      <c r="P12" s="7"/>
      <c r="Q12" s="7"/>
      <c r="R12" s="7"/>
    </row>
    <row r="13" spans="1:21" x14ac:dyDescent="0.3">
      <c r="A13" s="19">
        <v>44579</v>
      </c>
      <c r="B13" s="5" t="s">
        <v>5</v>
      </c>
      <c r="C13" s="6">
        <v>200</v>
      </c>
      <c r="D13" s="25">
        <v>44579</v>
      </c>
      <c r="E13">
        <f t="shared" si="4"/>
        <v>0</v>
      </c>
      <c r="F13">
        <f t="shared" si="5"/>
        <v>0</v>
      </c>
      <c r="G13">
        <f t="shared" si="0"/>
        <v>1</v>
      </c>
      <c r="H13">
        <f t="shared" si="1"/>
        <v>0</v>
      </c>
      <c r="I13">
        <f t="shared" si="2"/>
        <v>0</v>
      </c>
      <c r="J13">
        <f t="shared" si="3"/>
        <v>0</v>
      </c>
      <c r="M13" s="7"/>
      <c r="N13" s="7"/>
      <c r="O13" s="7"/>
      <c r="P13" s="7"/>
      <c r="Q13" s="7"/>
      <c r="R13" s="7"/>
    </row>
    <row r="14" spans="1:21" ht="15" thickBot="1" x14ac:dyDescent="0.35">
      <c r="A14" s="19">
        <v>44580</v>
      </c>
      <c r="B14" s="5" t="s">
        <v>3</v>
      </c>
      <c r="C14" s="6">
        <v>171</v>
      </c>
      <c r="D14" s="25">
        <v>44580</v>
      </c>
      <c r="E14">
        <f t="shared" si="4"/>
        <v>1</v>
      </c>
      <c r="F14">
        <f t="shared" si="5"/>
        <v>0</v>
      </c>
      <c r="G14">
        <f t="shared" si="0"/>
        <v>0</v>
      </c>
      <c r="H14">
        <f t="shared" si="1"/>
        <v>0</v>
      </c>
      <c r="I14">
        <f t="shared" si="2"/>
        <v>0</v>
      </c>
      <c r="J14">
        <f t="shared" si="3"/>
        <v>0</v>
      </c>
      <c r="M14" s="8"/>
      <c r="N14" s="8"/>
      <c r="O14" s="8"/>
      <c r="P14" s="8"/>
      <c r="Q14" s="8"/>
      <c r="R14" s="8"/>
    </row>
    <row r="15" spans="1:21" ht="15" thickBot="1" x14ac:dyDescent="0.35">
      <c r="A15" s="19">
        <v>44582</v>
      </c>
      <c r="B15" s="5" t="s">
        <v>3</v>
      </c>
      <c r="C15" s="6">
        <v>188</v>
      </c>
      <c r="D15" s="25">
        <v>44582</v>
      </c>
      <c r="E15">
        <f t="shared" si="4"/>
        <v>1</v>
      </c>
      <c r="F15">
        <f t="shared" si="5"/>
        <v>0</v>
      </c>
      <c r="G15">
        <f t="shared" si="0"/>
        <v>0</v>
      </c>
      <c r="H15">
        <f t="shared" si="1"/>
        <v>0</v>
      </c>
      <c r="I15">
        <f t="shared" si="2"/>
        <v>0</v>
      </c>
      <c r="J15">
        <f t="shared" si="3"/>
        <v>0</v>
      </c>
    </row>
    <row r="16" spans="1:21" x14ac:dyDescent="0.3">
      <c r="A16" s="19">
        <v>44582</v>
      </c>
      <c r="B16" s="5" t="s">
        <v>3</v>
      </c>
      <c r="C16" s="6">
        <v>37</v>
      </c>
      <c r="D16" s="25">
        <v>44582</v>
      </c>
      <c r="E16">
        <f t="shared" si="4"/>
        <v>1</v>
      </c>
      <c r="F16">
        <f t="shared" si="5"/>
        <v>0</v>
      </c>
      <c r="G16">
        <f t="shared" si="0"/>
        <v>0</v>
      </c>
      <c r="H16">
        <f t="shared" si="1"/>
        <v>0</v>
      </c>
      <c r="I16">
        <f t="shared" si="2"/>
        <v>0</v>
      </c>
      <c r="J16">
        <f t="shared" si="3"/>
        <v>0</v>
      </c>
      <c r="M16" s="18"/>
      <c r="N16" s="18"/>
      <c r="O16" s="18"/>
      <c r="P16" s="18"/>
      <c r="Q16" s="18"/>
      <c r="R16" s="18"/>
      <c r="S16" s="18"/>
      <c r="T16" s="18"/>
      <c r="U16" s="18"/>
    </row>
    <row r="17" spans="1:21" x14ac:dyDescent="0.3">
      <c r="A17" s="19">
        <v>44584</v>
      </c>
      <c r="B17" s="5" t="s">
        <v>3</v>
      </c>
      <c r="C17" s="6">
        <v>40</v>
      </c>
      <c r="D17" s="25">
        <v>44584</v>
      </c>
      <c r="E17">
        <f t="shared" si="4"/>
        <v>1</v>
      </c>
      <c r="F17">
        <f t="shared" si="5"/>
        <v>0</v>
      </c>
      <c r="G17">
        <f t="shared" si="0"/>
        <v>0</v>
      </c>
      <c r="H17">
        <f t="shared" si="1"/>
        <v>0</v>
      </c>
      <c r="I17">
        <f t="shared" si="2"/>
        <v>0</v>
      </c>
      <c r="J17">
        <f t="shared" si="3"/>
        <v>0</v>
      </c>
      <c r="M17" s="7"/>
      <c r="N17" s="7"/>
      <c r="O17" s="7"/>
      <c r="P17" s="7"/>
      <c r="Q17" s="7"/>
      <c r="R17" s="7"/>
      <c r="S17" s="7"/>
      <c r="T17" s="7"/>
      <c r="U17" s="7"/>
    </row>
    <row r="18" spans="1:21" x14ac:dyDescent="0.3">
      <c r="A18" s="19">
        <v>44584</v>
      </c>
      <c r="B18" s="5" t="s">
        <v>3</v>
      </c>
      <c r="C18" s="6">
        <v>465</v>
      </c>
      <c r="D18" s="25">
        <v>44584</v>
      </c>
      <c r="E18">
        <f t="shared" si="4"/>
        <v>1</v>
      </c>
      <c r="F18">
        <f t="shared" si="5"/>
        <v>0</v>
      </c>
      <c r="G18">
        <f t="shared" si="0"/>
        <v>0</v>
      </c>
      <c r="H18">
        <f t="shared" si="1"/>
        <v>0</v>
      </c>
      <c r="I18">
        <f t="shared" si="2"/>
        <v>0</v>
      </c>
      <c r="J18">
        <f t="shared" si="3"/>
        <v>0</v>
      </c>
      <c r="M18" s="7"/>
      <c r="N18" s="7"/>
      <c r="O18" s="7"/>
      <c r="P18" s="7"/>
      <c r="Q18" s="7"/>
      <c r="R18" s="7"/>
      <c r="S18" s="7"/>
      <c r="T18" s="7"/>
      <c r="U18" s="7"/>
    </row>
    <row r="19" spans="1:21" x14ac:dyDescent="0.3">
      <c r="A19" s="19">
        <v>44584</v>
      </c>
      <c r="B19" s="5" t="s">
        <v>3</v>
      </c>
      <c r="C19" s="6">
        <v>300</v>
      </c>
      <c r="D19" s="25">
        <v>44584</v>
      </c>
      <c r="E19">
        <f t="shared" si="4"/>
        <v>1</v>
      </c>
      <c r="F19">
        <f t="shared" si="5"/>
        <v>0</v>
      </c>
      <c r="G19">
        <f t="shared" si="0"/>
        <v>0</v>
      </c>
      <c r="H19">
        <f t="shared" si="1"/>
        <v>0</v>
      </c>
      <c r="I19">
        <f t="shared" si="2"/>
        <v>0</v>
      </c>
      <c r="J19">
        <f t="shared" si="3"/>
        <v>0</v>
      </c>
      <c r="M19" s="7"/>
      <c r="N19" s="7"/>
      <c r="O19" s="7"/>
      <c r="P19" s="7"/>
      <c r="Q19" s="7"/>
      <c r="R19" s="7"/>
      <c r="S19" s="7"/>
      <c r="T19" s="7"/>
      <c r="U19" s="7"/>
    </row>
    <row r="20" spans="1:21" x14ac:dyDescent="0.3">
      <c r="A20" s="19">
        <v>44584</v>
      </c>
      <c r="B20" s="5" t="s">
        <v>3</v>
      </c>
      <c r="C20" s="6">
        <v>302</v>
      </c>
      <c r="D20" s="25">
        <v>44584</v>
      </c>
      <c r="E20">
        <f t="shared" si="4"/>
        <v>1</v>
      </c>
      <c r="F20">
        <f t="shared" si="5"/>
        <v>0</v>
      </c>
      <c r="G20">
        <f t="shared" si="0"/>
        <v>0</v>
      </c>
      <c r="H20">
        <f t="shared" si="1"/>
        <v>0</v>
      </c>
      <c r="I20">
        <f t="shared" si="2"/>
        <v>0</v>
      </c>
      <c r="J20">
        <f t="shared" si="3"/>
        <v>0</v>
      </c>
      <c r="M20" s="7"/>
      <c r="N20" s="7"/>
      <c r="O20" s="7"/>
      <c r="P20" s="7"/>
      <c r="Q20" s="7"/>
      <c r="R20" s="7"/>
      <c r="S20" s="7"/>
      <c r="T20" s="7"/>
      <c r="U20" s="7"/>
    </row>
    <row r="21" spans="1:21" x14ac:dyDescent="0.3">
      <c r="A21" s="19">
        <v>44584</v>
      </c>
      <c r="B21" s="5" t="s">
        <v>3</v>
      </c>
      <c r="C21" s="6">
        <v>176</v>
      </c>
      <c r="D21" s="25">
        <v>44584</v>
      </c>
      <c r="E21">
        <f t="shared" si="4"/>
        <v>1</v>
      </c>
      <c r="F21">
        <f t="shared" si="5"/>
        <v>0</v>
      </c>
      <c r="G21">
        <f t="shared" si="0"/>
        <v>0</v>
      </c>
      <c r="H21">
        <f t="shared" si="1"/>
        <v>0</v>
      </c>
      <c r="I21">
        <f t="shared" si="2"/>
        <v>0</v>
      </c>
      <c r="J21">
        <f t="shared" si="3"/>
        <v>0</v>
      </c>
      <c r="M21" s="7"/>
      <c r="N21" s="7"/>
      <c r="O21" s="7"/>
      <c r="P21" s="7"/>
      <c r="Q21" s="7"/>
      <c r="R21" s="7"/>
      <c r="S21" s="7"/>
      <c r="T21" s="7"/>
      <c r="U21" s="7"/>
    </row>
    <row r="22" spans="1:21" x14ac:dyDescent="0.3">
      <c r="A22" s="19">
        <v>44584</v>
      </c>
      <c r="B22" s="5" t="s">
        <v>8</v>
      </c>
      <c r="C22" s="6">
        <v>200</v>
      </c>
      <c r="D22" s="25">
        <v>44584</v>
      </c>
      <c r="E22">
        <f t="shared" si="4"/>
        <v>0</v>
      </c>
      <c r="F22">
        <f t="shared" si="5"/>
        <v>0</v>
      </c>
      <c r="G22">
        <f t="shared" si="0"/>
        <v>0</v>
      </c>
      <c r="H22">
        <f t="shared" si="1"/>
        <v>1</v>
      </c>
      <c r="I22">
        <f t="shared" si="2"/>
        <v>0</v>
      </c>
      <c r="J22">
        <f t="shared" si="3"/>
        <v>0</v>
      </c>
      <c r="M22" s="7"/>
      <c r="N22" s="7"/>
      <c r="O22" s="7"/>
      <c r="P22" s="7"/>
      <c r="Q22" s="7"/>
      <c r="R22" s="7"/>
      <c r="S22" s="7"/>
      <c r="T22" s="7"/>
      <c r="U22" s="7"/>
    </row>
    <row r="23" spans="1:21" x14ac:dyDescent="0.3">
      <c r="A23" s="19">
        <v>44585</v>
      </c>
      <c r="B23" s="5" t="s">
        <v>3</v>
      </c>
      <c r="C23" s="6">
        <v>40</v>
      </c>
      <c r="D23" s="25">
        <v>44585</v>
      </c>
      <c r="E23">
        <f t="shared" si="4"/>
        <v>1</v>
      </c>
      <c r="F23">
        <f t="shared" si="5"/>
        <v>0</v>
      </c>
      <c r="G23">
        <f t="shared" si="0"/>
        <v>0</v>
      </c>
      <c r="H23">
        <f t="shared" si="1"/>
        <v>0</v>
      </c>
      <c r="I23">
        <f t="shared" si="2"/>
        <v>0</v>
      </c>
      <c r="J23">
        <f t="shared" si="3"/>
        <v>0</v>
      </c>
      <c r="M23" s="7"/>
      <c r="N23" s="7"/>
      <c r="O23" s="7"/>
      <c r="P23" s="7"/>
      <c r="Q23" s="7"/>
      <c r="R23" s="7"/>
      <c r="S23" s="7"/>
      <c r="T23" s="7"/>
      <c r="U23" s="7"/>
    </row>
    <row r="24" spans="1:21" ht="15" thickBot="1" x14ac:dyDescent="0.35">
      <c r="A24" s="19">
        <v>44585</v>
      </c>
      <c r="B24" s="5" t="s">
        <v>3</v>
      </c>
      <c r="C24" s="6">
        <v>133</v>
      </c>
      <c r="D24" s="25">
        <v>44585</v>
      </c>
      <c r="E24">
        <f t="shared" si="4"/>
        <v>1</v>
      </c>
      <c r="F24">
        <f t="shared" si="5"/>
        <v>0</v>
      </c>
      <c r="G24">
        <f t="shared" si="0"/>
        <v>0</v>
      </c>
      <c r="H24">
        <f t="shared" si="1"/>
        <v>0</v>
      </c>
      <c r="I24">
        <f t="shared" si="2"/>
        <v>0</v>
      </c>
      <c r="J24">
        <f t="shared" si="3"/>
        <v>0</v>
      </c>
      <c r="M24" s="8"/>
      <c r="N24" s="8"/>
      <c r="O24" s="8"/>
      <c r="P24" s="8"/>
      <c r="Q24" s="8"/>
      <c r="R24" s="8"/>
      <c r="S24" s="8"/>
      <c r="T24" s="8"/>
      <c r="U24" s="8"/>
    </row>
    <row r="25" spans="1:21" x14ac:dyDescent="0.3">
      <c r="A25" s="19">
        <v>44586</v>
      </c>
      <c r="B25" s="5" t="s">
        <v>3</v>
      </c>
      <c r="C25" s="6">
        <v>259</v>
      </c>
      <c r="D25" s="25">
        <v>44586</v>
      </c>
      <c r="E25">
        <f t="shared" si="4"/>
        <v>1</v>
      </c>
      <c r="F25">
        <f t="shared" si="5"/>
        <v>0</v>
      </c>
      <c r="G25">
        <f t="shared" si="0"/>
        <v>0</v>
      </c>
      <c r="H25">
        <f t="shared" si="1"/>
        <v>0</v>
      </c>
      <c r="I25">
        <f t="shared" si="2"/>
        <v>0</v>
      </c>
      <c r="J25">
        <f t="shared" si="3"/>
        <v>0</v>
      </c>
    </row>
    <row r="26" spans="1:21" x14ac:dyDescent="0.3">
      <c r="A26" s="19">
        <v>44586</v>
      </c>
      <c r="B26" s="5" t="s">
        <v>3</v>
      </c>
      <c r="C26" s="6">
        <v>18</v>
      </c>
      <c r="D26" s="25">
        <v>44586</v>
      </c>
      <c r="E26">
        <f t="shared" si="4"/>
        <v>1</v>
      </c>
      <c r="F26">
        <f t="shared" si="5"/>
        <v>0</v>
      </c>
      <c r="G26">
        <f t="shared" si="0"/>
        <v>0</v>
      </c>
      <c r="H26">
        <f t="shared" si="1"/>
        <v>0</v>
      </c>
      <c r="I26">
        <f t="shared" si="2"/>
        <v>0</v>
      </c>
      <c r="J26">
        <f t="shared" si="3"/>
        <v>0</v>
      </c>
    </row>
    <row r="27" spans="1:21" x14ac:dyDescent="0.3">
      <c r="A27" s="19">
        <v>44586</v>
      </c>
      <c r="B27" s="5" t="s">
        <v>6</v>
      </c>
      <c r="C27" s="6">
        <v>325</v>
      </c>
      <c r="D27" s="25">
        <v>44586</v>
      </c>
      <c r="E27">
        <f t="shared" si="4"/>
        <v>0</v>
      </c>
      <c r="F27">
        <f t="shared" si="5"/>
        <v>1</v>
      </c>
      <c r="G27">
        <f t="shared" si="0"/>
        <v>0</v>
      </c>
      <c r="H27">
        <f t="shared" si="1"/>
        <v>0</v>
      </c>
      <c r="I27">
        <f t="shared" si="2"/>
        <v>0</v>
      </c>
      <c r="J27">
        <f t="shared" si="3"/>
        <v>0</v>
      </c>
    </row>
    <row r="28" spans="1:21" x14ac:dyDescent="0.3">
      <c r="A28" s="19">
        <v>44587</v>
      </c>
      <c r="B28" s="5" t="s">
        <v>3</v>
      </c>
      <c r="C28" s="6">
        <v>115</v>
      </c>
      <c r="D28" s="25">
        <v>44587</v>
      </c>
      <c r="E28">
        <f t="shared" si="4"/>
        <v>1</v>
      </c>
      <c r="F28">
        <f t="shared" si="5"/>
        <v>0</v>
      </c>
      <c r="G28">
        <f t="shared" si="0"/>
        <v>0</v>
      </c>
      <c r="H28">
        <f t="shared" si="1"/>
        <v>0</v>
      </c>
      <c r="I28">
        <f t="shared" si="2"/>
        <v>0</v>
      </c>
      <c r="J28">
        <f t="shared" si="3"/>
        <v>0</v>
      </c>
    </row>
    <row r="29" spans="1:21" ht="15" thickBot="1" x14ac:dyDescent="0.35">
      <c r="A29" s="19">
        <v>44587</v>
      </c>
      <c r="B29" s="5" t="s">
        <v>3</v>
      </c>
      <c r="C29" s="6">
        <v>25</v>
      </c>
      <c r="D29" s="25">
        <v>44587</v>
      </c>
      <c r="E29">
        <f t="shared" si="4"/>
        <v>1</v>
      </c>
      <c r="F29">
        <f t="shared" si="5"/>
        <v>0</v>
      </c>
      <c r="G29">
        <f t="shared" si="0"/>
        <v>0</v>
      </c>
      <c r="H29">
        <f t="shared" si="1"/>
        <v>0</v>
      </c>
      <c r="I29">
        <f t="shared" si="2"/>
        <v>0</v>
      </c>
      <c r="J29">
        <f t="shared" si="3"/>
        <v>0</v>
      </c>
    </row>
    <row r="30" spans="1:21" x14ac:dyDescent="0.3">
      <c r="A30" s="19">
        <v>44588</v>
      </c>
      <c r="B30" s="5" t="s">
        <v>6</v>
      </c>
      <c r="C30" s="6">
        <v>43</v>
      </c>
      <c r="D30" s="25">
        <v>44588</v>
      </c>
      <c r="E30">
        <f t="shared" si="4"/>
        <v>0</v>
      </c>
      <c r="F30">
        <f t="shared" si="5"/>
        <v>1</v>
      </c>
      <c r="G30">
        <f t="shared" si="0"/>
        <v>0</v>
      </c>
      <c r="H30">
        <f t="shared" si="1"/>
        <v>0</v>
      </c>
      <c r="I30">
        <f t="shared" si="2"/>
        <v>0</v>
      </c>
      <c r="J30">
        <f t="shared" si="3"/>
        <v>0</v>
      </c>
      <c r="M30" s="18"/>
      <c r="N30" s="18"/>
      <c r="O30" s="18"/>
      <c r="P30" s="18"/>
      <c r="R30" s="18"/>
      <c r="S30" s="18"/>
    </row>
    <row r="31" spans="1:21" x14ac:dyDescent="0.3">
      <c r="A31" s="19">
        <v>44588</v>
      </c>
      <c r="B31" s="5" t="s">
        <v>5</v>
      </c>
      <c r="C31" s="6">
        <v>300</v>
      </c>
      <c r="D31" s="25">
        <v>44588</v>
      </c>
      <c r="E31">
        <f t="shared" si="4"/>
        <v>0</v>
      </c>
      <c r="F31">
        <f t="shared" si="5"/>
        <v>0</v>
      </c>
      <c r="G31">
        <f t="shared" si="0"/>
        <v>1</v>
      </c>
      <c r="H31">
        <f t="shared" si="1"/>
        <v>0</v>
      </c>
      <c r="I31">
        <f t="shared" si="2"/>
        <v>0</v>
      </c>
      <c r="J31">
        <f t="shared" si="3"/>
        <v>0</v>
      </c>
      <c r="M31" s="7"/>
      <c r="N31" s="7"/>
      <c r="O31" s="7"/>
      <c r="P31" s="7"/>
      <c r="R31" s="7"/>
      <c r="S31" s="7"/>
    </row>
    <row r="32" spans="1:21" x14ac:dyDescent="0.3">
      <c r="A32" s="19">
        <v>44588</v>
      </c>
      <c r="B32" s="5" t="s">
        <v>5</v>
      </c>
      <c r="C32" s="6">
        <v>100</v>
      </c>
      <c r="D32" s="25">
        <v>44588</v>
      </c>
      <c r="E32">
        <f t="shared" si="4"/>
        <v>0</v>
      </c>
      <c r="F32">
        <f t="shared" si="5"/>
        <v>0</v>
      </c>
      <c r="G32">
        <f t="shared" si="0"/>
        <v>1</v>
      </c>
      <c r="H32">
        <f t="shared" si="1"/>
        <v>0</v>
      </c>
      <c r="I32">
        <f t="shared" si="2"/>
        <v>0</v>
      </c>
      <c r="J32">
        <f t="shared" si="3"/>
        <v>0</v>
      </c>
      <c r="M32" s="7"/>
      <c r="N32" s="7"/>
      <c r="O32" s="7"/>
      <c r="P32" s="7"/>
      <c r="R32" s="7"/>
      <c r="S32" s="7"/>
    </row>
    <row r="33" spans="1:19" x14ac:dyDescent="0.3">
      <c r="A33" s="19">
        <v>44588</v>
      </c>
      <c r="B33" s="5" t="s">
        <v>3</v>
      </c>
      <c r="C33" s="6">
        <v>279</v>
      </c>
      <c r="D33" s="25">
        <v>44588</v>
      </c>
      <c r="E33">
        <f t="shared" si="4"/>
        <v>1</v>
      </c>
      <c r="F33">
        <f t="shared" si="5"/>
        <v>0</v>
      </c>
      <c r="G33">
        <f t="shared" si="0"/>
        <v>0</v>
      </c>
      <c r="H33">
        <f t="shared" si="1"/>
        <v>0</v>
      </c>
      <c r="I33">
        <f t="shared" si="2"/>
        <v>0</v>
      </c>
      <c r="J33">
        <f t="shared" si="3"/>
        <v>0</v>
      </c>
      <c r="M33" s="7"/>
      <c r="N33" s="7"/>
      <c r="O33" s="7"/>
      <c r="P33" s="7"/>
      <c r="R33" s="7"/>
      <c r="S33" s="7"/>
    </row>
    <row r="34" spans="1:19" x14ac:dyDescent="0.3">
      <c r="A34" s="19">
        <v>44589</v>
      </c>
      <c r="B34" s="5" t="s">
        <v>3</v>
      </c>
      <c r="C34" s="6">
        <v>10</v>
      </c>
      <c r="D34" s="25">
        <v>44589</v>
      </c>
      <c r="E34">
        <f t="shared" si="4"/>
        <v>1</v>
      </c>
      <c r="F34">
        <f t="shared" si="5"/>
        <v>0</v>
      </c>
      <c r="G34">
        <f t="shared" ref="G34:G65" si="6">IF($B34="Other",1,0)</f>
        <v>0</v>
      </c>
      <c r="H34">
        <f t="shared" ref="H34:H65" si="7">IF($B34="Social Life",1,0)</f>
        <v>0</v>
      </c>
      <c r="I34">
        <f t="shared" ref="I34:I65" si="8">IF($B34="Apparel",1,0)</f>
        <v>0</v>
      </c>
      <c r="J34">
        <f t="shared" ref="J34:J65" si="9">IF($B34="Household",1,0)</f>
        <v>0</v>
      </c>
      <c r="M34" t="s">
        <v>54</v>
      </c>
    </row>
    <row r="35" spans="1:19" ht="15" thickBot="1" x14ac:dyDescent="0.35">
      <c r="A35" s="19">
        <v>44589</v>
      </c>
      <c r="B35" s="5" t="s">
        <v>3</v>
      </c>
      <c r="C35" s="6">
        <v>138</v>
      </c>
      <c r="D35" s="25">
        <v>44589</v>
      </c>
      <c r="E35">
        <f t="shared" si="4"/>
        <v>1</v>
      </c>
      <c r="F35">
        <f t="shared" si="5"/>
        <v>0</v>
      </c>
      <c r="G35">
        <f t="shared" si="6"/>
        <v>0</v>
      </c>
      <c r="H35">
        <f t="shared" si="7"/>
        <v>0</v>
      </c>
      <c r="I35">
        <f t="shared" si="8"/>
        <v>0</v>
      </c>
      <c r="J35">
        <f t="shared" si="9"/>
        <v>0</v>
      </c>
    </row>
    <row r="36" spans="1:19" x14ac:dyDescent="0.3">
      <c r="A36" s="19">
        <v>44590</v>
      </c>
      <c r="B36" s="5" t="s">
        <v>6</v>
      </c>
      <c r="C36" s="6">
        <v>44</v>
      </c>
      <c r="D36" s="25">
        <v>44590</v>
      </c>
      <c r="E36">
        <f t="shared" si="4"/>
        <v>0</v>
      </c>
      <c r="F36">
        <f t="shared" si="5"/>
        <v>1</v>
      </c>
      <c r="G36">
        <f t="shared" si="6"/>
        <v>0</v>
      </c>
      <c r="H36">
        <f t="shared" si="7"/>
        <v>0</v>
      </c>
      <c r="I36">
        <f t="shared" si="8"/>
        <v>0</v>
      </c>
      <c r="J36">
        <f t="shared" si="9"/>
        <v>0</v>
      </c>
      <c r="M36" s="9" t="s">
        <v>55</v>
      </c>
      <c r="N36" s="9"/>
    </row>
    <row r="37" spans="1:19" x14ac:dyDescent="0.3">
      <c r="A37" s="19">
        <v>44590</v>
      </c>
      <c r="B37" s="5" t="s">
        <v>5</v>
      </c>
      <c r="C37" s="6">
        <v>100</v>
      </c>
      <c r="D37" s="25">
        <v>44590</v>
      </c>
      <c r="E37">
        <f t="shared" si="4"/>
        <v>0</v>
      </c>
      <c r="F37">
        <f t="shared" si="5"/>
        <v>0</v>
      </c>
      <c r="G37">
        <f t="shared" si="6"/>
        <v>1</v>
      </c>
      <c r="H37">
        <f t="shared" si="7"/>
        <v>0</v>
      </c>
      <c r="I37">
        <f t="shared" si="8"/>
        <v>0</v>
      </c>
      <c r="J37">
        <f t="shared" si="9"/>
        <v>0</v>
      </c>
      <c r="M37" s="7" t="s">
        <v>56</v>
      </c>
      <c r="N37" s="7">
        <v>0.37375663314784996</v>
      </c>
    </row>
    <row r="38" spans="1:19" x14ac:dyDescent="0.3">
      <c r="A38" s="19">
        <v>44591</v>
      </c>
      <c r="B38" s="5" t="s">
        <v>3</v>
      </c>
      <c r="C38" s="6">
        <v>155</v>
      </c>
      <c r="D38" s="25">
        <v>44591</v>
      </c>
      <c r="E38">
        <f t="shared" si="4"/>
        <v>1</v>
      </c>
      <c r="F38">
        <f t="shared" si="5"/>
        <v>0</v>
      </c>
      <c r="G38">
        <f t="shared" si="6"/>
        <v>0</v>
      </c>
      <c r="H38">
        <f t="shared" si="7"/>
        <v>0</v>
      </c>
      <c r="I38">
        <f t="shared" si="8"/>
        <v>0</v>
      </c>
      <c r="J38">
        <f t="shared" si="9"/>
        <v>0</v>
      </c>
      <c r="M38" s="7" t="s">
        <v>57</v>
      </c>
      <c r="N38" s="7">
        <v>0.13969402082201651</v>
      </c>
    </row>
    <row r="39" spans="1:19" x14ac:dyDescent="0.3">
      <c r="A39" s="19">
        <v>44591</v>
      </c>
      <c r="B39" s="5" t="s">
        <v>3</v>
      </c>
      <c r="C39" s="6">
        <v>120</v>
      </c>
      <c r="D39" s="25">
        <v>44591</v>
      </c>
      <c r="E39">
        <f t="shared" si="4"/>
        <v>1</v>
      </c>
      <c r="F39">
        <f t="shared" si="5"/>
        <v>0</v>
      </c>
      <c r="G39">
        <f t="shared" si="6"/>
        <v>0</v>
      </c>
      <c r="H39">
        <f t="shared" si="7"/>
        <v>0</v>
      </c>
      <c r="I39">
        <f t="shared" si="8"/>
        <v>0</v>
      </c>
      <c r="J39">
        <f t="shared" si="9"/>
        <v>0</v>
      </c>
      <c r="M39" s="7" t="s">
        <v>58</v>
      </c>
      <c r="N39" s="7">
        <v>7.9870371549512612E-2</v>
      </c>
    </row>
    <row r="40" spans="1:19" x14ac:dyDescent="0.3">
      <c r="A40" s="19">
        <v>44591</v>
      </c>
      <c r="B40" s="5" t="s">
        <v>3</v>
      </c>
      <c r="C40" s="6">
        <v>105</v>
      </c>
      <c r="D40" s="25">
        <v>44591</v>
      </c>
      <c r="E40">
        <f t="shared" si="4"/>
        <v>1</v>
      </c>
      <c r="F40">
        <f t="shared" si="5"/>
        <v>0</v>
      </c>
      <c r="G40">
        <f t="shared" si="6"/>
        <v>0</v>
      </c>
      <c r="H40">
        <f t="shared" si="7"/>
        <v>0</v>
      </c>
      <c r="I40">
        <f t="shared" si="8"/>
        <v>0</v>
      </c>
      <c r="J40">
        <f t="shared" si="9"/>
        <v>0</v>
      </c>
      <c r="M40" s="7" t="s">
        <v>14</v>
      </c>
      <c r="N40" s="7">
        <v>136.84878111829886</v>
      </c>
    </row>
    <row r="41" spans="1:19" ht="15" thickBot="1" x14ac:dyDescent="0.35">
      <c r="A41" s="19">
        <v>44592</v>
      </c>
      <c r="B41" s="5" t="s">
        <v>6</v>
      </c>
      <c r="C41" s="6">
        <v>50</v>
      </c>
      <c r="D41" s="25">
        <v>44592</v>
      </c>
      <c r="E41">
        <f t="shared" si="4"/>
        <v>0</v>
      </c>
      <c r="F41">
        <f t="shared" si="5"/>
        <v>1</v>
      </c>
      <c r="G41">
        <f t="shared" si="6"/>
        <v>0</v>
      </c>
      <c r="H41">
        <f t="shared" si="7"/>
        <v>0</v>
      </c>
      <c r="I41">
        <f t="shared" si="8"/>
        <v>0</v>
      </c>
      <c r="J41">
        <f t="shared" si="9"/>
        <v>0</v>
      </c>
      <c r="M41" s="8" t="s">
        <v>59</v>
      </c>
      <c r="N41" s="8">
        <v>110</v>
      </c>
    </row>
    <row r="42" spans="1:19" x14ac:dyDescent="0.3">
      <c r="A42" s="19">
        <v>44592</v>
      </c>
      <c r="B42" s="5" t="s">
        <v>5</v>
      </c>
      <c r="C42" s="6">
        <v>200</v>
      </c>
      <c r="D42" s="25">
        <v>44592</v>
      </c>
      <c r="E42">
        <f t="shared" si="4"/>
        <v>0</v>
      </c>
      <c r="F42">
        <f t="shared" si="5"/>
        <v>0</v>
      </c>
      <c r="G42">
        <f t="shared" si="6"/>
        <v>1</v>
      </c>
      <c r="H42">
        <f t="shared" si="7"/>
        <v>0</v>
      </c>
      <c r="I42">
        <f t="shared" si="8"/>
        <v>0</v>
      </c>
      <c r="J42">
        <f t="shared" si="9"/>
        <v>0</v>
      </c>
    </row>
    <row r="43" spans="1:19" ht="15" thickBot="1" x14ac:dyDescent="0.35">
      <c r="A43" s="19">
        <v>44592</v>
      </c>
      <c r="B43" s="5" t="s">
        <v>6</v>
      </c>
      <c r="C43" s="6">
        <v>153</v>
      </c>
      <c r="D43" s="25">
        <v>44592</v>
      </c>
      <c r="E43">
        <f t="shared" si="4"/>
        <v>0</v>
      </c>
      <c r="F43">
        <f t="shared" si="5"/>
        <v>1</v>
      </c>
      <c r="G43">
        <f t="shared" si="6"/>
        <v>0</v>
      </c>
      <c r="H43">
        <f t="shared" si="7"/>
        <v>0</v>
      </c>
      <c r="I43">
        <f t="shared" si="8"/>
        <v>0</v>
      </c>
      <c r="J43">
        <f t="shared" si="9"/>
        <v>0</v>
      </c>
      <c r="M43" t="s">
        <v>60</v>
      </c>
    </row>
    <row r="44" spans="1:19" x14ac:dyDescent="0.3">
      <c r="A44" s="19">
        <v>44593</v>
      </c>
      <c r="B44" s="5" t="s">
        <v>5</v>
      </c>
      <c r="C44" s="6">
        <v>8</v>
      </c>
      <c r="D44" s="25">
        <v>44593</v>
      </c>
      <c r="E44">
        <f t="shared" si="4"/>
        <v>0</v>
      </c>
      <c r="F44">
        <f t="shared" si="5"/>
        <v>0</v>
      </c>
      <c r="G44">
        <f t="shared" si="6"/>
        <v>1</v>
      </c>
      <c r="H44">
        <f t="shared" si="7"/>
        <v>0</v>
      </c>
      <c r="I44">
        <f t="shared" si="8"/>
        <v>0</v>
      </c>
      <c r="J44">
        <f t="shared" si="9"/>
        <v>0</v>
      </c>
      <c r="M44" s="18"/>
      <c r="N44" s="18" t="s">
        <v>65</v>
      </c>
      <c r="O44" s="18" t="s">
        <v>66</v>
      </c>
      <c r="P44" s="18" t="s">
        <v>67</v>
      </c>
      <c r="Q44" s="18" t="s">
        <v>68</v>
      </c>
      <c r="R44" s="18" t="s">
        <v>69</v>
      </c>
    </row>
    <row r="45" spans="1:19" x14ac:dyDescent="0.3">
      <c r="A45" s="19">
        <v>44593</v>
      </c>
      <c r="B45" s="5" t="s">
        <v>3</v>
      </c>
      <c r="C45" s="6">
        <v>200</v>
      </c>
      <c r="D45" s="25">
        <v>44593</v>
      </c>
      <c r="E45">
        <f t="shared" si="4"/>
        <v>1</v>
      </c>
      <c r="F45">
        <f t="shared" si="5"/>
        <v>0</v>
      </c>
      <c r="G45">
        <f t="shared" si="6"/>
        <v>0</v>
      </c>
      <c r="H45">
        <f t="shared" si="7"/>
        <v>0</v>
      </c>
      <c r="I45">
        <f t="shared" si="8"/>
        <v>0</v>
      </c>
      <c r="J45">
        <f t="shared" si="9"/>
        <v>0</v>
      </c>
      <c r="M45" s="7" t="s">
        <v>61</v>
      </c>
      <c r="N45" s="7">
        <v>7</v>
      </c>
      <c r="O45" s="7">
        <v>313216.02125835535</v>
      </c>
      <c r="P45" s="7">
        <v>44745.145894050765</v>
      </c>
      <c r="Q45" s="7">
        <v>2.7874741647957619</v>
      </c>
      <c r="R45" s="7">
        <v>1.0758581964709971E-2</v>
      </c>
    </row>
    <row r="46" spans="1:19" x14ac:dyDescent="0.3">
      <c r="A46" s="19">
        <v>44594</v>
      </c>
      <c r="B46" s="5" t="s">
        <v>3</v>
      </c>
      <c r="C46" s="6">
        <v>120</v>
      </c>
      <c r="D46" s="25">
        <v>44594</v>
      </c>
      <c r="E46">
        <f t="shared" si="4"/>
        <v>1</v>
      </c>
      <c r="F46">
        <f t="shared" si="5"/>
        <v>0</v>
      </c>
      <c r="G46">
        <f t="shared" si="6"/>
        <v>0</v>
      </c>
      <c r="H46">
        <f t="shared" si="7"/>
        <v>0</v>
      </c>
      <c r="I46">
        <f t="shared" si="8"/>
        <v>0</v>
      </c>
      <c r="J46">
        <f t="shared" si="9"/>
        <v>0</v>
      </c>
      <c r="M46" s="7" t="s">
        <v>62</v>
      </c>
      <c r="N46" s="7">
        <v>103</v>
      </c>
      <c r="O46" s="7">
        <v>1928941.656037099</v>
      </c>
      <c r="P46" s="7">
        <v>18727.588893564069</v>
      </c>
      <c r="Q46" s="7"/>
      <c r="R46" s="7"/>
    </row>
    <row r="47" spans="1:19" ht="15" thickBot="1" x14ac:dyDescent="0.35">
      <c r="A47" s="19">
        <v>44595</v>
      </c>
      <c r="B47" s="5" t="s">
        <v>3</v>
      </c>
      <c r="C47" s="6">
        <v>50</v>
      </c>
      <c r="D47" s="25">
        <v>44595</v>
      </c>
      <c r="E47">
        <f t="shared" si="4"/>
        <v>1</v>
      </c>
      <c r="F47">
        <f t="shared" si="5"/>
        <v>0</v>
      </c>
      <c r="G47">
        <f t="shared" si="6"/>
        <v>0</v>
      </c>
      <c r="H47">
        <f t="shared" si="7"/>
        <v>0</v>
      </c>
      <c r="I47">
        <f t="shared" si="8"/>
        <v>0</v>
      </c>
      <c r="J47">
        <f t="shared" si="9"/>
        <v>0</v>
      </c>
      <c r="M47" s="8" t="s">
        <v>63</v>
      </c>
      <c r="N47" s="8">
        <v>110</v>
      </c>
      <c r="O47" s="8">
        <v>2242157.6772954543</v>
      </c>
      <c r="P47" s="8"/>
      <c r="Q47" s="8"/>
      <c r="R47" s="8"/>
    </row>
    <row r="48" spans="1:19" ht="15" thickBot="1" x14ac:dyDescent="0.35">
      <c r="A48" s="19">
        <v>44595</v>
      </c>
      <c r="B48" s="5" t="s">
        <v>5</v>
      </c>
      <c r="C48" s="6">
        <v>300</v>
      </c>
      <c r="D48" s="25">
        <v>44595</v>
      </c>
      <c r="E48">
        <f t="shared" si="4"/>
        <v>0</v>
      </c>
      <c r="F48">
        <f t="shared" si="5"/>
        <v>0</v>
      </c>
      <c r="G48">
        <f t="shared" si="6"/>
        <v>1</v>
      </c>
      <c r="H48">
        <f t="shared" si="7"/>
        <v>0</v>
      </c>
      <c r="I48">
        <f t="shared" si="8"/>
        <v>0</v>
      </c>
      <c r="J48">
        <f t="shared" si="9"/>
        <v>0</v>
      </c>
    </row>
    <row r="49" spans="1:21" x14ac:dyDescent="0.3">
      <c r="A49" s="19">
        <v>44605</v>
      </c>
      <c r="B49" s="5" t="s">
        <v>8</v>
      </c>
      <c r="C49" s="6">
        <v>100</v>
      </c>
      <c r="D49" s="25">
        <v>44605</v>
      </c>
      <c r="E49">
        <f t="shared" si="4"/>
        <v>0</v>
      </c>
      <c r="F49">
        <f t="shared" si="5"/>
        <v>0</v>
      </c>
      <c r="G49">
        <f t="shared" si="6"/>
        <v>0</v>
      </c>
      <c r="H49">
        <f t="shared" si="7"/>
        <v>1</v>
      </c>
      <c r="I49">
        <f t="shared" si="8"/>
        <v>0</v>
      </c>
      <c r="J49">
        <f t="shared" si="9"/>
        <v>0</v>
      </c>
      <c r="M49" s="18"/>
      <c r="N49" s="18" t="s">
        <v>70</v>
      </c>
      <c r="O49" s="18" t="s">
        <v>14</v>
      </c>
      <c r="P49" s="18" t="s">
        <v>71</v>
      </c>
      <c r="Q49" s="18" t="s">
        <v>72</v>
      </c>
      <c r="R49" s="18" t="s">
        <v>73</v>
      </c>
      <c r="S49" s="18" t="s">
        <v>74</v>
      </c>
      <c r="T49" s="18" t="s">
        <v>75</v>
      </c>
      <c r="U49" s="18" t="s">
        <v>76</v>
      </c>
    </row>
    <row r="50" spans="1:21" x14ac:dyDescent="0.3">
      <c r="A50" s="19">
        <v>44608</v>
      </c>
      <c r="B50" s="5" t="s">
        <v>3</v>
      </c>
      <c r="C50" s="6">
        <v>165</v>
      </c>
      <c r="D50" s="25">
        <v>44608</v>
      </c>
      <c r="E50">
        <f t="shared" si="4"/>
        <v>1</v>
      </c>
      <c r="F50">
        <f t="shared" si="5"/>
        <v>0</v>
      </c>
      <c r="G50">
        <f t="shared" si="6"/>
        <v>0</v>
      </c>
      <c r="H50">
        <f t="shared" si="7"/>
        <v>0</v>
      </c>
      <c r="I50">
        <f t="shared" si="8"/>
        <v>0</v>
      </c>
      <c r="J50">
        <f t="shared" si="9"/>
        <v>0</v>
      </c>
      <c r="M50" s="7" t="s">
        <v>64</v>
      </c>
      <c r="N50" s="7">
        <v>-20175.8335180131</v>
      </c>
      <c r="O50" s="7">
        <v>7116.034782549692</v>
      </c>
      <c r="P50" s="7">
        <v>-2.8352634767173033</v>
      </c>
      <c r="Q50" s="7">
        <v>5.5123043446317563E-3</v>
      </c>
      <c r="R50" s="7">
        <v>-34288.810155204716</v>
      </c>
      <c r="S50" s="7">
        <v>-6062.8568808214877</v>
      </c>
      <c r="T50" s="7">
        <v>-34288.810155204716</v>
      </c>
      <c r="U50" s="7">
        <v>-6062.8568808214877</v>
      </c>
    </row>
    <row r="51" spans="1:21" x14ac:dyDescent="0.3">
      <c r="A51" s="19">
        <v>44608</v>
      </c>
      <c r="B51" s="5" t="s">
        <v>3</v>
      </c>
      <c r="C51" s="6">
        <v>475</v>
      </c>
      <c r="D51" s="25">
        <v>44608</v>
      </c>
      <c r="E51">
        <f t="shared" si="4"/>
        <v>1</v>
      </c>
      <c r="F51">
        <f t="shared" si="5"/>
        <v>0</v>
      </c>
      <c r="G51">
        <f t="shared" si="6"/>
        <v>0</v>
      </c>
      <c r="H51">
        <f t="shared" si="7"/>
        <v>0</v>
      </c>
      <c r="I51">
        <f t="shared" si="8"/>
        <v>0</v>
      </c>
      <c r="J51">
        <f t="shared" si="9"/>
        <v>0</v>
      </c>
      <c r="M51" s="7" t="s">
        <v>83</v>
      </c>
      <c r="N51" s="7">
        <v>0.4557923851150501</v>
      </c>
      <c r="O51" s="7">
        <v>0.15955727311402412</v>
      </c>
      <c r="P51" s="7">
        <v>2.8566067608170265</v>
      </c>
      <c r="Q51" s="7">
        <v>5.1806111678352213E-3</v>
      </c>
      <c r="R51" s="7">
        <v>0.1393481663101796</v>
      </c>
      <c r="S51" s="7">
        <v>0.77223660391992066</v>
      </c>
      <c r="T51" s="7">
        <v>0.1393481663101796</v>
      </c>
      <c r="U51" s="7">
        <v>0.77223660391992066</v>
      </c>
    </row>
    <row r="52" spans="1:21" x14ac:dyDescent="0.3">
      <c r="A52" s="19">
        <v>44609</v>
      </c>
      <c r="B52" s="5" t="s">
        <v>3</v>
      </c>
      <c r="C52" s="6">
        <v>80</v>
      </c>
      <c r="D52" s="25">
        <v>44609</v>
      </c>
      <c r="E52">
        <f t="shared" si="4"/>
        <v>1</v>
      </c>
      <c r="F52">
        <f t="shared" si="5"/>
        <v>0</v>
      </c>
      <c r="G52">
        <f t="shared" si="6"/>
        <v>0</v>
      </c>
      <c r="H52">
        <f t="shared" si="7"/>
        <v>0</v>
      </c>
      <c r="I52">
        <f t="shared" si="8"/>
        <v>0</v>
      </c>
      <c r="J52">
        <f t="shared" si="9"/>
        <v>0</v>
      </c>
      <c r="M52" s="7" t="s">
        <v>84</v>
      </c>
      <c r="N52" s="7">
        <v>5.1260505022893881</v>
      </c>
      <c r="O52" s="7">
        <v>98.385875509410468</v>
      </c>
      <c r="P52" s="7">
        <v>5.2101487899033724E-2</v>
      </c>
      <c r="Q52" s="7">
        <v>0.9585487401753241</v>
      </c>
      <c r="R52" s="7">
        <v>-189.99912874766972</v>
      </c>
      <c r="S52" s="7">
        <v>200.25122975224849</v>
      </c>
      <c r="T52" s="7">
        <v>-189.99912874766972</v>
      </c>
      <c r="U52" s="7">
        <v>200.25122975224849</v>
      </c>
    </row>
    <row r="53" spans="1:21" x14ac:dyDescent="0.3">
      <c r="A53" s="19">
        <v>44610</v>
      </c>
      <c r="B53" s="5" t="s">
        <v>3</v>
      </c>
      <c r="C53" s="6">
        <v>348</v>
      </c>
      <c r="D53" s="25">
        <v>44610</v>
      </c>
      <c r="E53">
        <f t="shared" si="4"/>
        <v>1</v>
      </c>
      <c r="F53">
        <f t="shared" si="5"/>
        <v>0</v>
      </c>
      <c r="G53">
        <f t="shared" si="6"/>
        <v>0</v>
      </c>
      <c r="H53">
        <f t="shared" si="7"/>
        <v>0</v>
      </c>
      <c r="I53">
        <f t="shared" si="8"/>
        <v>0</v>
      </c>
      <c r="J53">
        <f t="shared" si="9"/>
        <v>0</v>
      </c>
      <c r="M53" s="7" t="s">
        <v>85</v>
      </c>
      <c r="N53" s="7">
        <v>-36.383491290900707</v>
      </c>
      <c r="O53" s="7">
        <v>102.70874359585999</v>
      </c>
      <c r="P53" s="7">
        <v>-0.35423947384716392</v>
      </c>
      <c r="Q53" s="7">
        <v>0.7238835960257064</v>
      </c>
      <c r="R53" s="7">
        <v>-240.08205981930058</v>
      </c>
      <c r="S53" s="7">
        <v>167.31507723749917</v>
      </c>
      <c r="T53" s="7">
        <v>-240.08205981930058</v>
      </c>
      <c r="U53" s="7">
        <v>167.31507723749917</v>
      </c>
    </row>
    <row r="54" spans="1:21" x14ac:dyDescent="0.3">
      <c r="A54" s="19">
        <v>44611</v>
      </c>
      <c r="B54" s="5" t="s">
        <v>3</v>
      </c>
      <c r="C54" s="6">
        <v>111</v>
      </c>
      <c r="D54" s="25">
        <v>44611</v>
      </c>
      <c r="E54">
        <f t="shared" si="4"/>
        <v>1</v>
      </c>
      <c r="F54">
        <f t="shared" si="5"/>
        <v>0</v>
      </c>
      <c r="G54">
        <f t="shared" si="6"/>
        <v>0</v>
      </c>
      <c r="H54">
        <f t="shared" si="7"/>
        <v>0</v>
      </c>
      <c r="I54">
        <f t="shared" si="8"/>
        <v>0</v>
      </c>
      <c r="J54">
        <f t="shared" si="9"/>
        <v>0</v>
      </c>
      <c r="M54" s="7" t="s">
        <v>86</v>
      </c>
      <c r="N54" s="7">
        <v>24.982102188428833</v>
      </c>
      <c r="O54" s="7">
        <v>102.90153606894206</v>
      </c>
      <c r="P54" s="7">
        <v>0.24277676643904811</v>
      </c>
      <c r="Q54" s="7">
        <v>0.80866113323588495</v>
      </c>
      <c r="R54" s="7">
        <v>-179.09882473921695</v>
      </c>
      <c r="S54" s="7">
        <v>229.0630291160746</v>
      </c>
      <c r="T54" s="7">
        <v>-179.09882473921695</v>
      </c>
      <c r="U54" s="7">
        <v>229.0630291160746</v>
      </c>
    </row>
    <row r="55" spans="1:21" x14ac:dyDescent="0.3">
      <c r="A55" s="19">
        <v>44611</v>
      </c>
      <c r="B55" s="5" t="s">
        <v>3</v>
      </c>
      <c r="C55" s="6">
        <v>250</v>
      </c>
      <c r="D55" s="25">
        <v>44611</v>
      </c>
      <c r="E55">
        <f t="shared" si="4"/>
        <v>1</v>
      </c>
      <c r="F55">
        <f t="shared" si="5"/>
        <v>0</v>
      </c>
      <c r="G55">
        <f t="shared" si="6"/>
        <v>0</v>
      </c>
      <c r="H55">
        <f t="shared" si="7"/>
        <v>0</v>
      </c>
      <c r="I55">
        <f t="shared" si="8"/>
        <v>0</v>
      </c>
      <c r="J55">
        <f t="shared" si="9"/>
        <v>0</v>
      </c>
      <c r="M55" s="7" t="s">
        <v>87</v>
      </c>
      <c r="N55" s="7">
        <v>0</v>
      </c>
      <c r="O55" s="7">
        <v>0</v>
      </c>
      <c r="P55" s="7">
        <v>65535</v>
      </c>
      <c r="Q55" s="7" t="e">
        <v>#NUM!</v>
      </c>
      <c r="R55" s="7">
        <v>0</v>
      </c>
      <c r="S55" s="7">
        <v>0</v>
      </c>
      <c r="T55" s="7">
        <v>0</v>
      </c>
      <c r="U55" s="7">
        <v>0</v>
      </c>
    </row>
    <row r="56" spans="1:21" x14ac:dyDescent="0.3">
      <c r="A56" s="19">
        <v>44611</v>
      </c>
      <c r="B56" s="5" t="s">
        <v>6</v>
      </c>
      <c r="C56" s="6">
        <v>200</v>
      </c>
      <c r="D56" s="25">
        <v>44611</v>
      </c>
      <c r="E56">
        <f t="shared" si="4"/>
        <v>0</v>
      </c>
      <c r="F56">
        <f t="shared" si="5"/>
        <v>1</v>
      </c>
      <c r="G56">
        <f t="shared" si="6"/>
        <v>0</v>
      </c>
      <c r="H56">
        <f t="shared" si="7"/>
        <v>0</v>
      </c>
      <c r="I56">
        <f t="shared" si="8"/>
        <v>0</v>
      </c>
      <c r="J56">
        <f t="shared" si="9"/>
        <v>0</v>
      </c>
      <c r="M56" s="7" t="s">
        <v>88</v>
      </c>
      <c r="N56" s="7">
        <v>239.65625610514138</v>
      </c>
      <c r="O56" s="7">
        <v>136.8878659269127</v>
      </c>
      <c r="P56" s="7">
        <v>1.7507487203657546</v>
      </c>
      <c r="Q56" s="7" t="e">
        <v>#NUM!</v>
      </c>
      <c r="R56" s="7">
        <v>-31.828540242261226</v>
      </c>
      <c r="S56" s="7">
        <v>511.14105245254399</v>
      </c>
      <c r="T56" s="7">
        <v>-31.828540242261226</v>
      </c>
      <c r="U56" s="7">
        <v>511.14105245254399</v>
      </c>
    </row>
    <row r="57" spans="1:21" ht="15" thickBot="1" x14ac:dyDescent="0.35">
      <c r="A57" s="19">
        <v>44611</v>
      </c>
      <c r="B57" s="5" t="s">
        <v>3</v>
      </c>
      <c r="C57" s="6">
        <v>380</v>
      </c>
      <c r="D57" s="25">
        <v>44611</v>
      </c>
      <c r="E57">
        <f t="shared" si="4"/>
        <v>1</v>
      </c>
      <c r="F57">
        <f t="shared" si="5"/>
        <v>0</v>
      </c>
      <c r="G57">
        <f t="shared" si="6"/>
        <v>0</v>
      </c>
      <c r="H57">
        <f t="shared" si="7"/>
        <v>0</v>
      </c>
      <c r="I57">
        <f t="shared" si="8"/>
        <v>0</v>
      </c>
      <c r="J57">
        <f t="shared" si="9"/>
        <v>0</v>
      </c>
      <c r="M57" s="8" t="s">
        <v>89</v>
      </c>
      <c r="N57" s="8">
        <v>34.297036032698315</v>
      </c>
      <c r="O57" s="8">
        <v>126.24639075709676</v>
      </c>
      <c r="P57" s="8">
        <v>0.27166745779439527</v>
      </c>
      <c r="Q57" s="8">
        <v>0.78642149558182894</v>
      </c>
      <c r="R57" s="8">
        <v>-216.08290416291129</v>
      </c>
      <c r="S57" s="8">
        <v>284.67697622830792</v>
      </c>
      <c r="T57" s="8">
        <v>-216.08290416291129</v>
      </c>
      <c r="U57" s="8">
        <v>284.67697622830792</v>
      </c>
    </row>
    <row r="58" spans="1:21" x14ac:dyDescent="0.3">
      <c r="A58" s="19">
        <v>44611</v>
      </c>
      <c r="B58" s="5" t="s">
        <v>6</v>
      </c>
      <c r="C58" s="6">
        <v>60</v>
      </c>
      <c r="D58" s="25">
        <v>44611</v>
      </c>
      <c r="E58">
        <f t="shared" si="4"/>
        <v>0</v>
      </c>
      <c r="F58">
        <f t="shared" si="5"/>
        <v>1</v>
      </c>
      <c r="G58">
        <f t="shared" si="6"/>
        <v>0</v>
      </c>
      <c r="H58">
        <f t="shared" si="7"/>
        <v>0</v>
      </c>
      <c r="I58">
        <f t="shared" si="8"/>
        <v>0</v>
      </c>
      <c r="J58">
        <f t="shared" si="9"/>
        <v>0</v>
      </c>
    </row>
    <row r="59" spans="1:21" x14ac:dyDescent="0.3">
      <c r="A59" s="19">
        <v>44611</v>
      </c>
      <c r="B59" s="5" t="s">
        <v>5</v>
      </c>
      <c r="C59" s="6">
        <v>50</v>
      </c>
      <c r="D59" s="25">
        <v>44611</v>
      </c>
      <c r="E59">
        <f t="shared" si="4"/>
        <v>0</v>
      </c>
      <c r="F59">
        <f t="shared" si="5"/>
        <v>0</v>
      </c>
      <c r="G59">
        <f t="shared" si="6"/>
        <v>1</v>
      </c>
      <c r="H59">
        <f t="shared" si="7"/>
        <v>0</v>
      </c>
      <c r="I59">
        <f t="shared" si="8"/>
        <v>0</v>
      </c>
      <c r="J59">
        <f t="shared" si="9"/>
        <v>0</v>
      </c>
    </row>
    <row r="60" spans="1:21" x14ac:dyDescent="0.3">
      <c r="A60" s="19">
        <v>44611</v>
      </c>
      <c r="B60" s="5" t="s">
        <v>6</v>
      </c>
      <c r="C60" s="6">
        <v>270</v>
      </c>
      <c r="D60" s="25">
        <v>44611</v>
      </c>
      <c r="E60">
        <f t="shared" si="4"/>
        <v>0</v>
      </c>
      <c r="F60">
        <f t="shared" si="5"/>
        <v>1</v>
      </c>
      <c r="G60">
        <f t="shared" si="6"/>
        <v>0</v>
      </c>
      <c r="H60">
        <f t="shared" si="7"/>
        <v>0</v>
      </c>
      <c r="I60">
        <f t="shared" si="8"/>
        <v>0</v>
      </c>
      <c r="J60">
        <f t="shared" si="9"/>
        <v>0</v>
      </c>
    </row>
    <row r="61" spans="1:21" x14ac:dyDescent="0.3">
      <c r="A61" s="19">
        <v>44612</v>
      </c>
      <c r="B61" s="5" t="s">
        <v>3</v>
      </c>
      <c r="C61" s="6">
        <v>200</v>
      </c>
      <c r="D61" s="25">
        <v>44612</v>
      </c>
      <c r="E61">
        <f t="shared" si="4"/>
        <v>1</v>
      </c>
      <c r="F61">
        <f t="shared" si="5"/>
        <v>0</v>
      </c>
      <c r="G61">
        <f t="shared" si="6"/>
        <v>0</v>
      </c>
      <c r="H61">
        <f t="shared" si="7"/>
        <v>0</v>
      </c>
      <c r="I61">
        <f t="shared" si="8"/>
        <v>0</v>
      </c>
      <c r="J61">
        <f t="shared" si="9"/>
        <v>0</v>
      </c>
      <c r="M61" s="7"/>
      <c r="N61" s="7"/>
      <c r="O61" s="7"/>
      <c r="P61" s="7"/>
      <c r="R61" s="7"/>
      <c r="S61" s="7"/>
    </row>
    <row r="62" spans="1:21" x14ac:dyDescent="0.3">
      <c r="A62" s="19">
        <v>44613</v>
      </c>
      <c r="B62" s="5" t="s">
        <v>6</v>
      </c>
      <c r="C62" s="6">
        <v>138</v>
      </c>
      <c r="D62" s="25">
        <v>44613</v>
      </c>
      <c r="E62">
        <f t="shared" si="4"/>
        <v>0</v>
      </c>
      <c r="F62">
        <f t="shared" si="5"/>
        <v>1</v>
      </c>
      <c r="G62">
        <f t="shared" si="6"/>
        <v>0</v>
      </c>
      <c r="H62">
        <f t="shared" si="7"/>
        <v>0</v>
      </c>
      <c r="I62">
        <f t="shared" si="8"/>
        <v>0</v>
      </c>
      <c r="J62">
        <f t="shared" si="9"/>
        <v>0</v>
      </c>
      <c r="M62" s="7"/>
      <c r="N62" s="7"/>
      <c r="O62" s="7"/>
      <c r="P62" s="7"/>
      <c r="R62" s="7"/>
      <c r="S62" s="7"/>
    </row>
    <row r="63" spans="1:21" x14ac:dyDescent="0.3">
      <c r="A63" s="19">
        <v>44613</v>
      </c>
      <c r="B63" s="5" t="s">
        <v>4</v>
      </c>
      <c r="C63" s="6">
        <v>336</v>
      </c>
      <c r="D63" s="25">
        <v>44613</v>
      </c>
      <c r="E63">
        <f t="shared" si="4"/>
        <v>0</v>
      </c>
      <c r="F63">
        <f t="shared" si="5"/>
        <v>0</v>
      </c>
      <c r="G63">
        <f t="shared" si="6"/>
        <v>0</v>
      </c>
      <c r="H63">
        <f t="shared" si="7"/>
        <v>0</v>
      </c>
      <c r="I63">
        <f t="shared" si="8"/>
        <v>0</v>
      </c>
      <c r="J63">
        <f t="shared" si="9"/>
        <v>1</v>
      </c>
      <c r="M63" s="7"/>
      <c r="N63" s="7"/>
      <c r="O63" s="7"/>
      <c r="P63" s="7"/>
      <c r="R63" s="7"/>
      <c r="S63" s="7"/>
    </row>
    <row r="64" spans="1:21" x14ac:dyDescent="0.3">
      <c r="A64" s="19">
        <v>44613</v>
      </c>
      <c r="B64" s="5" t="s">
        <v>6</v>
      </c>
      <c r="C64" s="6">
        <v>201.8</v>
      </c>
      <c r="D64" s="25">
        <v>44613</v>
      </c>
      <c r="E64">
        <f t="shared" si="4"/>
        <v>0</v>
      </c>
      <c r="F64">
        <f t="shared" si="5"/>
        <v>1</v>
      </c>
      <c r="G64">
        <f t="shared" si="6"/>
        <v>0</v>
      </c>
      <c r="H64">
        <f t="shared" si="7"/>
        <v>0</v>
      </c>
      <c r="I64">
        <f t="shared" si="8"/>
        <v>0</v>
      </c>
      <c r="J64">
        <f t="shared" si="9"/>
        <v>0</v>
      </c>
      <c r="M64" s="7"/>
      <c r="N64" s="7"/>
      <c r="O64" s="7"/>
      <c r="P64" s="7"/>
      <c r="R64" s="7"/>
      <c r="S64" s="7"/>
    </row>
    <row r="65" spans="1:19" x14ac:dyDescent="0.3">
      <c r="A65" s="19">
        <v>44614</v>
      </c>
      <c r="B65" s="5" t="s">
        <v>6</v>
      </c>
      <c r="C65" s="6">
        <v>120</v>
      </c>
      <c r="D65" s="25">
        <v>44614</v>
      </c>
      <c r="E65">
        <f t="shared" si="4"/>
        <v>0</v>
      </c>
      <c r="F65">
        <f t="shared" si="5"/>
        <v>1</v>
      </c>
      <c r="G65">
        <f t="shared" si="6"/>
        <v>0</v>
      </c>
      <c r="H65">
        <f t="shared" si="7"/>
        <v>0</v>
      </c>
      <c r="I65">
        <f t="shared" si="8"/>
        <v>0</v>
      </c>
      <c r="J65">
        <f t="shared" si="9"/>
        <v>0</v>
      </c>
      <c r="M65" s="7"/>
      <c r="N65" s="7"/>
      <c r="O65" s="7"/>
      <c r="P65" s="7"/>
      <c r="R65" s="7"/>
      <c r="S65" s="7"/>
    </row>
    <row r="66" spans="1:19" x14ac:dyDescent="0.3">
      <c r="A66" s="19">
        <v>44615</v>
      </c>
      <c r="B66" s="5" t="s">
        <v>7</v>
      </c>
      <c r="C66" s="6">
        <v>399</v>
      </c>
      <c r="D66" s="25">
        <v>44615</v>
      </c>
      <c r="E66">
        <f t="shared" si="4"/>
        <v>0</v>
      </c>
      <c r="F66">
        <f t="shared" si="5"/>
        <v>0</v>
      </c>
      <c r="G66">
        <f t="shared" ref="G66:G97" si="10">IF($B66="Other",1,0)</f>
        <v>0</v>
      </c>
      <c r="H66">
        <f t="shared" ref="H66:H97" si="11">IF($B66="Social Life",1,0)</f>
        <v>0</v>
      </c>
      <c r="I66">
        <f t="shared" ref="I66:I97" si="12">IF($B66="Apparel",1,0)</f>
        <v>1</v>
      </c>
      <c r="J66">
        <f t="shared" ref="J66:J97" si="13">IF($B66="Household",1,0)</f>
        <v>0</v>
      </c>
      <c r="M66" s="7"/>
      <c r="N66" s="7"/>
      <c r="O66" s="7"/>
      <c r="P66" s="7"/>
      <c r="R66" s="7"/>
      <c r="S66" s="7"/>
    </row>
    <row r="67" spans="1:19" x14ac:dyDescent="0.3">
      <c r="A67" s="19">
        <v>44615</v>
      </c>
      <c r="B67" s="5" t="s">
        <v>3</v>
      </c>
      <c r="C67" s="6">
        <v>83</v>
      </c>
      <c r="D67" s="25">
        <v>44615</v>
      </c>
      <c r="E67">
        <f t="shared" ref="E67:E111" si="14">IF($B67="Food",1,0)</f>
        <v>1</v>
      </c>
      <c r="F67">
        <f t="shared" ref="F67:F111" si="15">IF($B67="Transportation",1,0)</f>
        <v>0</v>
      </c>
      <c r="G67">
        <f t="shared" si="10"/>
        <v>0</v>
      </c>
      <c r="H67">
        <f t="shared" si="11"/>
        <v>0</v>
      </c>
      <c r="I67">
        <f t="shared" si="12"/>
        <v>0</v>
      </c>
      <c r="J67">
        <f t="shared" si="13"/>
        <v>0</v>
      </c>
      <c r="M67" s="7"/>
      <c r="N67" s="7"/>
      <c r="O67" s="7"/>
      <c r="P67" s="7"/>
      <c r="R67" s="7"/>
      <c r="S67" s="7"/>
    </row>
    <row r="68" spans="1:19" x14ac:dyDescent="0.3">
      <c r="A68" s="19">
        <v>44615</v>
      </c>
      <c r="B68" s="5" t="s">
        <v>7</v>
      </c>
      <c r="C68" s="6">
        <v>399</v>
      </c>
      <c r="D68" s="25">
        <v>44615</v>
      </c>
      <c r="E68">
        <f t="shared" si="14"/>
        <v>0</v>
      </c>
      <c r="F68">
        <f t="shared" si="15"/>
        <v>0</v>
      </c>
      <c r="G68">
        <f t="shared" si="10"/>
        <v>0</v>
      </c>
      <c r="H68">
        <f t="shared" si="11"/>
        <v>0</v>
      </c>
      <c r="I68">
        <f t="shared" si="12"/>
        <v>1</v>
      </c>
      <c r="J68">
        <f t="shared" si="13"/>
        <v>0</v>
      </c>
      <c r="M68" s="7"/>
      <c r="N68" s="7"/>
      <c r="O68" s="7"/>
      <c r="P68" s="7"/>
      <c r="R68" s="7"/>
      <c r="S68" s="7"/>
    </row>
    <row r="69" spans="1:19" x14ac:dyDescent="0.3">
      <c r="A69" s="19">
        <v>44616</v>
      </c>
      <c r="B69" s="5" t="s">
        <v>4</v>
      </c>
      <c r="C69" s="6">
        <v>303</v>
      </c>
      <c r="D69" s="25">
        <v>44616</v>
      </c>
      <c r="E69">
        <f t="shared" si="14"/>
        <v>0</v>
      </c>
      <c r="F69">
        <f t="shared" si="15"/>
        <v>0</v>
      </c>
      <c r="G69">
        <f t="shared" si="10"/>
        <v>0</v>
      </c>
      <c r="H69">
        <f t="shared" si="11"/>
        <v>0</v>
      </c>
      <c r="I69">
        <f t="shared" si="12"/>
        <v>0</v>
      </c>
      <c r="J69">
        <f t="shared" si="13"/>
        <v>1</v>
      </c>
      <c r="M69" s="7"/>
      <c r="N69" s="7"/>
      <c r="O69" s="7"/>
      <c r="P69" s="7"/>
      <c r="R69" s="7"/>
      <c r="S69" s="7"/>
    </row>
    <row r="70" spans="1:19" x14ac:dyDescent="0.3">
      <c r="A70" s="19">
        <v>44616</v>
      </c>
      <c r="B70" s="5" t="s">
        <v>3</v>
      </c>
      <c r="C70" s="6">
        <v>289</v>
      </c>
      <c r="D70" s="25">
        <v>44616</v>
      </c>
      <c r="E70">
        <f t="shared" si="14"/>
        <v>1</v>
      </c>
      <c r="F70">
        <f t="shared" si="15"/>
        <v>0</v>
      </c>
      <c r="G70">
        <f t="shared" si="10"/>
        <v>0</v>
      </c>
      <c r="H70">
        <f t="shared" si="11"/>
        <v>0</v>
      </c>
      <c r="I70">
        <f t="shared" si="12"/>
        <v>0</v>
      </c>
      <c r="J70">
        <f t="shared" si="13"/>
        <v>0</v>
      </c>
      <c r="M70" s="7"/>
      <c r="N70" s="7"/>
      <c r="O70" s="7"/>
      <c r="P70" s="7"/>
      <c r="R70" s="7"/>
      <c r="S70" s="7"/>
    </row>
    <row r="71" spans="1:19" x14ac:dyDescent="0.3">
      <c r="A71" s="19">
        <v>44616</v>
      </c>
      <c r="B71" s="5" t="s">
        <v>3</v>
      </c>
      <c r="C71" s="6">
        <v>324.7</v>
      </c>
      <c r="D71" s="25">
        <v>44616</v>
      </c>
      <c r="E71">
        <f t="shared" si="14"/>
        <v>1</v>
      </c>
      <c r="F71">
        <f t="shared" si="15"/>
        <v>0</v>
      </c>
      <c r="G71">
        <f t="shared" si="10"/>
        <v>0</v>
      </c>
      <c r="H71">
        <f t="shared" si="11"/>
        <v>0</v>
      </c>
      <c r="I71">
        <f t="shared" si="12"/>
        <v>0</v>
      </c>
      <c r="J71">
        <f t="shared" si="13"/>
        <v>0</v>
      </c>
      <c r="M71" s="7"/>
      <c r="N71" s="7"/>
      <c r="O71" s="7"/>
      <c r="P71" s="7"/>
      <c r="R71" s="7"/>
      <c r="S71" s="7"/>
    </row>
    <row r="72" spans="1:19" x14ac:dyDescent="0.3">
      <c r="A72" s="19">
        <v>44617</v>
      </c>
      <c r="B72" s="5" t="s">
        <v>3</v>
      </c>
      <c r="C72" s="6">
        <v>33</v>
      </c>
      <c r="D72" s="25">
        <v>44617</v>
      </c>
      <c r="E72">
        <f t="shared" si="14"/>
        <v>1</v>
      </c>
      <c r="F72">
        <f t="shared" si="15"/>
        <v>0</v>
      </c>
      <c r="G72">
        <f t="shared" si="10"/>
        <v>0</v>
      </c>
      <c r="H72">
        <f t="shared" si="11"/>
        <v>0</v>
      </c>
      <c r="I72">
        <f t="shared" si="12"/>
        <v>0</v>
      </c>
      <c r="J72">
        <f t="shared" si="13"/>
        <v>0</v>
      </c>
      <c r="M72" s="7"/>
      <c r="N72" s="7"/>
      <c r="O72" s="7"/>
      <c r="P72" s="7"/>
      <c r="R72" s="7"/>
      <c r="S72" s="7"/>
    </row>
    <row r="73" spans="1:19" x14ac:dyDescent="0.3">
      <c r="A73" s="19">
        <v>44618</v>
      </c>
      <c r="B73" s="5" t="s">
        <v>3</v>
      </c>
      <c r="C73" s="6">
        <v>25</v>
      </c>
      <c r="D73" s="25">
        <v>44618</v>
      </c>
      <c r="E73">
        <f t="shared" si="14"/>
        <v>1</v>
      </c>
      <c r="F73">
        <f t="shared" si="15"/>
        <v>0</v>
      </c>
      <c r="G73">
        <f t="shared" si="10"/>
        <v>0</v>
      </c>
      <c r="H73">
        <f t="shared" si="11"/>
        <v>0</v>
      </c>
      <c r="I73">
        <f t="shared" si="12"/>
        <v>0</v>
      </c>
      <c r="J73">
        <f t="shared" si="13"/>
        <v>0</v>
      </c>
      <c r="M73" s="7"/>
      <c r="N73" s="7"/>
      <c r="O73" s="7"/>
      <c r="P73" s="7"/>
      <c r="R73" s="7"/>
      <c r="S73" s="7"/>
    </row>
    <row r="74" spans="1:19" x14ac:dyDescent="0.3">
      <c r="A74" s="19">
        <v>44618</v>
      </c>
      <c r="B74" s="5" t="s">
        <v>5</v>
      </c>
      <c r="C74" s="6">
        <v>100</v>
      </c>
      <c r="D74" s="25">
        <v>44618</v>
      </c>
      <c r="E74">
        <f t="shared" si="14"/>
        <v>0</v>
      </c>
      <c r="F74">
        <f t="shared" si="15"/>
        <v>0</v>
      </c>
      <c r="G74">
        <f t="shared" si="10"/>
        <v>1</v>
      </c>
      <c r="H74">
        <f t="shared" si="11"/>
        <v>0</v>
      </c>
      <c r="I74">
        <f t="shared" si="12"/>
        <v>0</v>
      </c>
      <c r="J74">
        <f t="shared" si="13"/>
        <v>0</v>
      </c>
      <c r="M74" s="7"/>
      <c r="N74" s="7"/>
      <c r="O74" s="7"/>
      <c r="P74" s="7"/>
      <c r="R74" s="7"/>
      <c r="S74" s="7"/>
    </row>
    <row r="75" spans="1:19" x14ac:dyDescent="0.3">
      <c r="A75" s="19">
        <v>44618</v>
      </c>
      <c r="B75" s="5" t="s">
        <v>3</v>
      </c>
      <c r="C75" s="6">
        <v>40</v>
      </c>
      <c r="D75" s="25">
        <v>44618</v>
      </c>
      <c r="E75">
        <f t="shared" si="14"/>
        <v>1</v>
      </c>
      <c r="F75">
        <f t="shared" si="15"/>
        <v>0</v>
      </c>
      <c r="G75">
        <f t="shared" si="10"/>
        <v>0</v>
      </c>
      <c r="H75">
        <f t="shared" si="11"/>
        <v>0</v>
      </c>
      <c r="I75">
        <f t="shared" si="12"/>
        <v>0</v>
      </c>
      <c r="J75">
        <f t="shared" si="13"/>
        <v>0</v>
      </c>
      <c r="M75" s="7"/>
      <c r="N75" s="7"/>
      <c r="O75" s="7"/>
      <c r="P75" s="7"/>
      <c r="R75" s="7"/>
      <c r="S75" s="7"/>
    </row>
    <row r="76" spans="1:19" x14ac:dyDescent="0.3">
      <c r="A76" s="19">
        <v>44618</v>
      </c>
      <c r="B76" s="5" t="s">
        <v>3</v>
      </c>
      <c r="C76" s="6">
        <v>84</v>
      </c>
      <c r="D76" s="25">
        <v>44618</v>
      </c>
      <c r="E76">
        <f t="shared" si="14"/>
        <v>1</v>
      </c>
      <c r="F76">
        <f t="shared" si="15"/>
        <v>0</v>
      </c>
      <c r="G76">
        <f t="shared" si="10"/>
        <v>0</v>
      </c>
      <c r="H76">
        <f t="shared" si="11"/>
        <v>0</v>
      </c>
      <c r="I76">
        <f t="shared" si="12"/>
        <v>0</v>
      </c>
      <c r="J76">
        <f t="shared" si="13"/>
        <v>0</v>
      </c>
      <c r="M76" s="7"/>
      <c r="N76" s="7"/>
      <c r="O76" s="7"/>
      <c r="P76" s="7"/>
      <c r="R76" s="7"/>
      <c r="S76" s="7"/>
    </row>
    <row r="77" spans="1:19" x14ac:dyDescent="0.3">
      <c r="A77" s="19">
        <v>44619</v>
      </c>
      <c r="B77" s="5" t="s">
        <v>3</v>
      </c>
      <c r="C77" s="6">
        <v>243</v>
      </c>
      <c r="D77" s="25">
        <v>44619</v>
      </c>
      <c r="E77">
        <f t="shared" si="14"/>
        <v>1</v>
      </c>
      <c r="F77">
        <f t="shared" si="15"/>
        <v>0</v>
      </c>
      <c r="G77">
        <f t="shared" si="10"/>
        <v>0</v>
      </c>
      <c r="H77">
        <f t="shared" si="11"/>
        <v>0</v>
      </c>
      <c r="I77">
        <f t="shared" si="12"/>
        <v>0</v>
      </c>
      <c r="J77">
        <f t="shared" si="13"/>
        <v>0</v>
      </c>
      <c r="M77" s="7"/>
      <c r="N77" s="7"/>
      <c r="O77" s="7"/>
      <c r="P77" s="7"/>
      <c r="R77" s="7"/>
      <c r="S77" s="7"/>
    </row>
    <row r="78" spans="1:19" x14ac:dyDescent="0.3">
      <c r="A78" s="19">
        <v>44620</v>
      </c>
      <c r="B78" s="5" t="s">
        <v>3</v>
      </c>
      <c r="C78" s="6">
        <v>339.15</v>
      </c>
      <c r="D78" s="25">
        <v>44620</v>
      </c>
      <c r="E78">
        <f t="shared" si="14"/>
        <v>1</v>
      </c>
      <c r="F78">
        <f t="shared" si="15"/>
        <v>0</v>
      </c>
      <c r="G78">
        <f t="shared" si="10"/>
        <v>0</v>
      </c>
      <c r="H78">
        <f t="shared" si="11"/>
        <v>0</v>
      </c>
      <c r="I78">
        <f t="shared" si="12"/>
        <v>0</v>
      </c>
      <c r="J78">
        <f t="shared" si="13"/>
        <v>0</v>
      </c>
      <c r="M78" s="7"/>
      <c r="N78" s="7"/>
      <c r="O78" s="7"/>
      <c r="P78" s="7"/>
      <c r="R78" s="7"/>
      <c r="S78" s="7"/>
    </row>
    <row r="79" spans="1:19" x14ac:dyDescent="0.3">
      <c r="A79" s="19">
        <v>44621</v>
      </c>
      <c r="B79" s="5" t="s">
        <v>3</v>
      </c>
      <c r="C79" s="6">
        <v>10</v>
      </c>
      <c r="D79" s="25">
        <v>44621</v>
      </c>
      <c r="E79">
        <f t="shared" si="14"/>
        <v>1</v>
      </c>
      <c r="F79">
        <f t="shared" si="15"/>
        <v>0</v>
      </c>
      <c r="G79">
        <f t="shared" si="10"/>
        <v>0</v>
      </c>
      <c r="H79">
        <f t="shared" si="11"/>
        <v>0</v>
      </c>
      <c r="I79">
        <f t="shared" si="12"/>
        <v>0</v>
      </c>
      <c r="J79">
        <f t="shared" si="13"/>
        <v>0</v>
      </c>
      <c r="M79" s="7"/>
      <c r="N79" s="7"/>
      <c r="O79" s="7"/>
      <c r="P79" s="7"/>
      <c r="R79" s="7"/>
      <c r="S79" s="7"/>
    </row>
    <row r="80" spans="1:19" x14ac:dyDescent="0.3">
      <c r="A80" s="19">
        <v>44621</v>
      </c>
      <c r="B80" s="5" t="s">
        <v>3</v>
      </c>
      <c r="C80" s="6">
        <v>300</v>
      </c>
      <c r="D80" s="25">
        <v>44621</v>
      </c>
      <c r="E80">
        <f t="shared" si="14"/>
        <v>1</v>
      </c>
      <c r="F80">
        <f t="shared" si="15"/>
        <v>0</v>
      </c>
      <c r="G80">
        <f t="shared" si="10"/>
        <v>0</v>
      </c>
      <c r="H80">
        <f t="shared" si="11"/>
        <v>0</v>
      </c>
      <c r="I80">
        <f t="shared" si="12"/>
        <v>0</v>
      </c>
      <c r="J80">
        <f t="shared" si="13"/>
        <v>0</v>
      </c>
      <c r="M80" s="7"/>
      <c r="N80" s="7"/>
      <c r="O80" s="7"/>
      <c r="P80" s="7"/>
      <c r="R80" s="7"/>
      <c r="S80" s="7"/>
    </row>
    <row r="81" spans="1:19" x14ac:dyDescent="0.3">
      <c r="A81" s="19">
        <v>44622</v>
      </c>
      <c r="B81" s="5" t="s">
        <v>3</v>
      </c>
      <c r="C81" s="6">
        <v>50</v>
      </c>
      <c r="D81" s="25">
        <v>44622</v>
      </c>
      <c r="E81">
        <f t="shared" si="14"/>
        <v>1</v>
      </c>
      <c r="F81">
        <f t="shared" si="15"/>
        <v>0</v>
      </c>
      <c r="G81">
        <f t="shared" si="10"/>
        <v>0</v>
      </c>
      <c r="H81">
        <f t="shared" si="11"/>
        <v>0</v>
      </c>
      <c r="I81">
        <f t="shared" si="12"/>
        <v>0</v>
      </c>
      <c r="J81">
        <f t="shared" si="13"/>
        <v>0</v>
      </c>
      <c r="M81" s="7"/>
      <c r="N81" s="7"/>
      <c r="O81" s="7"/>
      <c r="P81" s="7"/>
      <c r="R81" s="7"/>
      <c r="S81" s="7"/>
    </row>
    <row r="82" spans="1:19" x14ac:dyDescent="0.3">
      <c r="A82" s="19">
        <v>44622</v>
      </c>
      <c r="B82" s="5" t="s">
        <v>5</v>
      </c>
      <c r="C82" s="6">
        <v>150</v>
      </c>
      <c r="D82" s="25">
        <v>44622</v>
      </c>
      <c r="E82">
        <f t="shared" si="14"/>
        <v>0</v>
      </c>
      <c r="F82">
        <f t="shared" si="15"/>
        <v>0</v>
      </c>
      <c r="G82">
        <f t="shared" si="10"/>
        <v>1</v>
      </c>
      <c r="H82">
        <f t="shared" si="11"/>
        <v>0</v>
      </c>
      <c r="I82">
        <f t="shared" si="12"/>
        <v>0</v>
      </c>
      <c r="J82">
        <f t="shared" si="13"/>
        <v>0</v>
      </c>
      <c r="M82" s="7"/>
      <c r="N82" s="7"/>
      <c r="O82" s="7"/>
      <c r="P82" s="7"/>
      <c r="R82" s="7"/>
      <c r="S82" s="7"/>
    </row>
    <row r="83" spans="1:19" x14ac:dyDescent="0.3">
      <c r="A83" s="19">
        <v>44652</v>
      </c>
      <c r="B83" s="5" t="s">
        <v>3</v>
      </c>
      <c r="C83" s="6">
        <v>106</v>
      </c>
      <c r="D83" s="25">
        <v>44652</v>
      </c>
      <c r="E83">
        <f t="shared" si="14"/>
        <v>1</v>
      </c>
      <c r="F83">
        <f t="shared" si="15"/>
        <v>0</v>
      </c>
      <c r="G83">
        <f t="shared" si="10"/>
        <v>0</v>
      </c>
      <c r="H83">
        <f t="shared" si="11"/>
        <v>0</v>
      </c>
      <c r="I83">
        <f t="shared" si="12"/>
        <v>0</v>
      </c>
      <c r="J83">
        <f t="shared" si="13"/>
        <v>0</v>
      </c>
      <c r="M83" s="7"/>
      <c r="N83" s="7"/>
      <c r="O83" s="7"/>
      <c r="P83" s="7"/>
      <c r="R83" s="7"/>
      <c r="S83" s="7"/>
    </row>
    <row r="84" spans="1:19" x14ac:dyDescent="0.3">
      <c r="A84" s="19">
        <v>44652</v>
      </c>
      <c r="B84" s="5" t="s">
        <v>5</v>
      </c>
      <c r="C84" s="6">
        <v>80</v>
      </c>
      <c r="D84" s="25">
        <v>44652</v>
      </c>
      <c r="E84">
        <f t="shared" si="14"/>
        <v>0</v>
      </c>
      <c r="F84">
        <f t="shared" si="15"/>
        <v>0</v>
      </c>
      <c r="G84">
        <f t="shared" si="10"/>
        <v>1</v>
      </c>
      <c r="H84">
        <f t="shared" si="11"/>
        <v>0</v>
      </c>
      <c r="I84">
        <f t="shared" si="12"/>
        <v>0</v>
      </c>
      <c r="J84">
        <f t="shared" si="13"/>
        <v>0</v>
      </c>
      <c r="M84" s="7"/>
      <c r="N84" s="7"/>
      <c r="O84" s="7"/>
      <c r="P84" s="7"/>
      <c r="R84" s="7"/>
      <c r="S84" s="7"/>
    </row>
    <row r="85" spans="1:19" x14ac:dyDescent="0.3">
      <c r="A85" s="19">
        <v>44652</v>
      </c>
      <c r="B85" s="5" t="s">
        <v>3</v>
      </c>
      <c r="C85" s="6">
        <v>107</v>
      </c>
      <c r="D85" s="25">
        <v>44652</v>
      </c>
      <c r="E85">
        <f t="shared" si="14"/>
        <v>1</v>
      </c>
      <c r="F85">
        <f t="shared" si="15"/>
        <v>0</v>
      </c>
      <c r="G85">
        <f t="shared" si="10"/>
        <v>0</v>
      </c>
      <c r="H85">
        <f t="shared" si="11"/>
        <v>0</v>
      </c>
      <c r="I85">
        <f t="shared" si="12"/>
        <v>0</v>
      </c>
      <c r="J85">
        <f t="shared" si="13"/>
        <v>0</v>
      </c>
      <c r="M85" s="7"/>
      <c r="N85" s="7"/>
      <c r="O85" s="7"/>
      <c r="P85" s="7"/>
      <c r="R85" s="7"/>
      <c r="S85" s="7"/>
    </row>
    <row r="86" spans="1:19" x14ac:dyDescent="0.3">
      <c r="A86" s="19">
        <v>44653</v>
      </c>
      <c r="B86" s="5" t="s">
        <v>3</v>
      </c>
      <c r="C86" s="6">
        <v>80</v>
      </c>
      <c r="D86" s="25">
        <v>44653</v>
      </c>
      <c r="E86">
        <f t="shared" si="14"/>
        <v>1</v>
      </c>
      <c r="F86">
        <f t="shared" si="15"/>
        <v>0</v>
      </c>
      <c r="G86">
        <f t="shared" si="10"/>
        <v>0</v>
      </c>
      <c r="H86">
        <f t="shared" si="11"/>
        <v>0</v>
      </c>
      <c r="I86">
        <f t="shared" si="12"/>
        <v>0</v>
      </c>
      <c r="J86">
        <f t="shared" si="13"/>
        <v>0</v>
      </c>
      <c r="M86" s="7"/>
      <c r="N86" s="7"/>
      <c r="O86" s="7"/>
      <c r="P86" s="7"/>
      <c r="R86" s="7"/>
      <c r="S86" s="7"/>
    </row>
    <row r="87" spans="1:19" x14ac:dyDescent="0.3">
      <c r="A87" s="19">
        <v>44682</v>
      </c>
      <c r="B87" s="5" t="s">
        <v>3</v>
      </c>
      <c r="C87" s="6">
        <v>211</v>
      </c>
      <c r="D87" s="25">
        <v>44682</v>
      </c>
      <c r="E87">
        <f t="shared" si="14"/>
        <v>1</v>
      </c>
      <c r="F87">
        <f t="shared" si="15"/>
        <v>0</v>
      </c>
      <c r="G87">
        <f t="shared" si="10"/>
        <v>0</v>
      </c>
      <c r="H87">
        <f t="shared" si="11"/>
        <v>0</v>
      </c>
      <c r="I87">
        <f t="shared" si="12"/>
        <v>0</v>
      </c>
      <c r="J87">
        <f t="shared" si="13"/>
        <v>0</v>
      </c>
      <c r="M87" s="7"/>
      <c r="N87" s="7"/>
      <c r="O87" s="7"/>
      <c r="P87" s="7"/>
      <c r="R87" s="7"/>
      <c r="S87" s="7"/>
    </row>
    <row r="88" spans="1:19" x14ac:dyDescent="0.3">
      <c r="A88" s="19">
        <v>44682</v>
      </c>
      <c r="B88" s="5" t="s">
        <v>5</v>
      </c>
      <c r="C88" s="6">
        <v>40</v>
      </c>
      <c r="D88" s="25">
        <v>44682</v>
      </c>
      <c r="E88">
        <f t="shared" si="14"/>
        <v>0</v>
      </c>
      <c r="F88">
        <f t="shared" si="15"/>
        <v>0</v>
      </c>
      <c r="G88">
        <f t="shared" si="10"/>
        <v>1</v>
      </c>
      <c r="H88">
        <f t="shared" si="11"/>
        <v>0</v>
      </c>
      <c r="I88">
        <f t="shared" si="12"/>
        <v>0</v>
      </c>
      <c r="J88">
        <f t="shared" si="13"/>
        <v>0</v>
      </c>
      <c r="M88" s="7"/>
      <c r="N88" s="7"/>
      <c r="O88" s="7"/>
      <c r="P88" s="7"/>
      <c r="R88" s="7"/>
      <c r="S88" s="7"/>
    </row>
    <row r="89" spans="1:19" x14ac:dyDescent="0.3">
      <c r="A89" s="19">
        <v>44682</v>
      </c>
      <c r="B89" s="5" t="s">
        <v>5</v>
      </c>
      <c r="C89" s="6">
        <v>30</v>
      </c>
      <c r="D89" s="25">
        <v>44682</v>
      </c>
      <c r="E89">
        <f t="shared" si="14"/>
        <v>0</v>
      </c>
      <c r="F89">
        <f t="shared" si="15"/>
        <v>0</v>
      </c>
      <c r="G89">
        <f t="shared" si="10"/>
        <v>1</v>
      </c>
      <c r="H89">
        <f t="shared" si="11"/>
        <v>0</v>
      </c>
      <c r="I89">
        <f t="shared" si="12"/>
        <v>0</v>
      </c>
      <c r="J89">
        <f t="shared" si="13"/>
        <v>0</v>
      </c>
      <c r="M89" s="7"/>
      <c r="N89" s="7"/>
      <c r="O89" s="7"/>
      <c r="P89" s="7"/>
      <c r="R89" s="7"/>
      <c r="S89" s="7"/>
    </row>
    <row r="90" spans="1:19" x14ac:dyDescent="0.3">
      <c r="A90" s="19">
        <v>44682</v>
      </c>
      <c r="B90" s="5" t="s">
        <v>3</v>
      </c>
      <c r="C90" s="6">
        <v>354</v>
      </c>
      <c r="D90" s="25">
        <v>44682</v>
      </c>
      <c r="E90">
        <f t="shared" si="14"/>
        <v>1</v>
      </c>
      <c r="F90">
        <f t="shared" si="15"/>
        <v>0</v>
      </c>
      <c r="G90">
        <f t="shared" si="10"/>
        <v>0</v>
      </c>
      <c r="H90">
        <f t="shared" si="11"/>
        <v>0</v>
      </c>
      <c r="I90">
        <f t="shared" si="12"/>
        <v>0</v>
      </c>
      <c r="J90">
        <f t="shared" si="13"/>
        <v>0</v>
      </c>
      <c r="M90" s="7"/>
      <c r="N90" s="7"/>
      <c r="O90" s="7"/>
      <c r="P90" s="7"/>
      <c r="R90" s="7"/>
      <c r="S90" s="7"/>
    </row>
    <row r="91" spans="1:19" x14ac:dyDescent="0.3">
      <c r="A91" s="19">
        <v>44682</v>
      </c>
      <c r="B91" s="5" t="s">
        <v>5</v>
      </c>
      <c r="C91" s="6">
        <v>500</v>
      </c>
      <c r="D91" s="25">
        <v>44682</v>
      </c>
      <c r="E91">
        <f t="shared" si="14"/>
        <v>0</v>
      </c>
      <c r="F91">
        <f t="shared" si="15"/>
        <v>0</v>
      </c>
      <c r="G91">
        <f t="shared" si="10"/>
        <v>1</v>
      </c>
      <c r="H91">
        <f t="shared" si="11"/>
        <v>0</v>
      </c>
      <c r="I91">
        <f t="shared" si="12"/>
        <v>0</v>
      </c>
      <c r="J91">
        <f t="shared" si="13"/>
        <v>0</v>
      </c>
      <c r="M91" s="7"/>
      <c r="N91" s="7"/>
      <c r="O91" s="7"/>
      <c r="P91" s="7"/>
      <c r="R91" s="7"/>
      <c r="S91" s="7"/>
    </row>
    <row r="92" spans="1:19" x14ac:dyDescent="0.3">
      <c r="A92" s="19">
        <v>44682</v>
      </c>
      <c r="B92" s="5" t="s">
        <v>5</v>
      </c>
      <c r="C92" s="6">
        <v>500</v>
      </c>
      <c r="D92" s="25">
        <v>44682</v>
      </c>
      <c r="E92">
        <f t="shared" si="14"/>
        <v>0</v>
      </c>
      <c r="F92">
        <f t="shared" si="15"/>
        <v>0</v>
      </c>
      <c r="G92">
        <f t="shared" si="10"/>
        <v>1</v>
      </c>
      <c r="H92">
        <f t="shared" si="11"/>
        <v>0</v>
      </c>
      <c r="I92">
        <f t="shared" si="12"/>
        <v>0</v>
      </c>
      <c r="J92">
        <f t="shared" si="13"/>
        <v>0</v>
      </c>
      <c r="M92" s="7"/>
      <c r="N92" s="7"/>
      <c r="O92" s="7"/>
      <c r="P92" s="7"/>
      <c r="R92" s="7"/>
      <c r="S92" s="7"/>
    </row>
    <row r="93" spans="1:19" x14ac:dyDescent="0.3">
      <c r="A93" s="19">
        <v>44682</v>
      </c>
      <c r="B93" s="5" t="s">
        <v>6</v>
      </c>
      <c r="C93" s="6">
        <v>60</v>
      </c>
      <c r="D93" s="25">
        <v>44682</v>
      </c>
      <c r="E93">
        <f t="shared" si="14"/>
        <v>0</v>
      </c>
      <c r="F93">
        <f t="shared" si="15"/>
        <v>1</v>
      </c>
      <c r="G93">
        <f t="shared" si="10"/>
        <v>0</v>
      </c>
      <c r="H93">
        <f t="shared" si="11"/>
        <v>0</v>
      </c>
      <c r="I93">
        <f t="shared" si="12"/>
        <v>0</v>
      </c>
      <c r="J93">
        <f t="shared" si="13"/>
        <v>0</v>
      </c>
      <c r="M93" s="7"/>
      <c r="N93" s="7"/>
      <c r="O93" s="7"/>
      <c r="P93" s="7"/>
      <c r="R93" s="7"/>
      <c r="S93" s="7"/>
    </row>
    <row r="94" spans="1:19" x14ac:dyDescent="0.3">
      <c r="A94" s="19">
        <v>44682</v>
      </c>
      <c r="B94" s="5" t="s">
        <v>3</v>
      </c>
      <c r="C94" s="6">
        <v>388</v>
      </c>
      <c r="D94" s="25">
        <v>44682</v>
      </c>
      <c r="E94">
        <f t="shared" si="14"/>
        <v>1</v>
      </c>
      <c r="F94">
        <f t="shared" si="15"/>
        <v>0</v>
      </c>
      <c r="G94">
        <f t="shared" si="10"/>
        <v>0</v>
      </c>
      <c r="H94">
        <f t="shared" si="11"/>
        <v>0</v>
      </c>
      <c r="I94">
        <f t="shared" si="12"/>
        <v>0</v>
      </c>
      <c r="J94">
        <f t="shared" si="13"/>
        <v>0</v>
      </c>
      <c r="M94" s="7"/>
      <c r="N94" s="7"/>
      <c r="O94" s="7"/>
      <c r="P94" s="7"/>
      <c r="R94" s="7"/>
      <c r="S94" s="7"/>
    </row>
    <row r="95" spans="1:19" x14ac:dyDescent="0.3">
      <c r="A95" s="19">
        <v>44713</v>
      </c>
      <c r="B95" s="5" t="s">
        <v>3</v>
      </c>
      <c r="C95" s="6">
        <v>20</v>
      </c>
      <c r="D95" s="25">
        <v>44713</v>
      </c>
      <c r="E95">
        <f t="shared" si="14"/>
        <v>1</v>
      </c>
      <c r="F95">
        <f t="shared" si="15"/>
        <v>0</v>
      </c>
      <c r="G95">
        <f t="shared" si="10"/>
        <v>0</v>
      </c>
      <c r="H95">
        <f t="shared" si="11"/>
        <v>0</v>
      </c>
      <c r="I95">
        <f t="shared" si="12"/>
        <v>0</v>
      </c>
      <c r="J95">
        <f t="shared" si="13"/>
        <v>0</v>
      </c>
      <c r="M95" s="7"/>
      <c r="N95" s="7"/>
      <c r="O95" s="7"/>
      <c r="P95" s="7"/>
      <c r="R95" s="7"/>
      <c r="S95" s="7"/>
    </row>
    <row r="96" spans="1:19" x14ac:dyDescent="0.3">
      <c r="A96" s="19">
        <v>44713</v>
      </c>
      <c r="B96" s="5" t="s">
        <v>3</v>
      </c>
      <c r="C96" s="6">
        <v>10</v>
      </c>
      <c r="D96" s="25">
        <v>44713</v>
      </c>
      <c r="E96">
        <f t="shared" si="14"/>
        <v>1</v>
      </c>
      <c r="F96">
        <f t="shared" si="15"/>
        <v>0</v>
      </c>
      <c r="G96">
        <f t="shared" si="10"/>
        <v>0</v>
      </c>
      <c r="H96">
        <f t="shared" si="11"/>
        <v>0</v>
      </c>
      <c r="I96">
        <f t="shared" si="12"/>
        <v>0</v>
      </c>
      <c r="J96">
        <f t="shared" si="13"/>
        <v>0</v>
      </c>
      <c r="M96" s="7"/>
      <c r="N96" s="7"/>
      <c r="O96" s="7"/>
      <c r="P96" s="7"/>
      <c r="R96" s="7"/>
      <c r="S96" s="7"/>
    </row>
    <row r="97" spans="1:19" x14ac:dyDescent="0.3">
      <c r="A97" s="19">
        <v>44713</v>
      </c>
      <c r="B97" s="5" t="s">
        <v>6</v>
      </c>
      <c r="C97" s="6">
        <v>42</v>
      </c>
      <c r="D97" s="25">
        <v>44713</v>
      </c>
      <c r="E97">
        <f t="shared" si="14"/>
        <v>0</v>
      </c>
      <c r="F97">
        <f t="shared" si="15"/>
        <v>1</v>
      </c>
      <c r="G97">
        <f t="shared" si="10"/>
        <v>0</v>
      </c>
      <c r="H97">
        <f t="shared" si="11"/>
        <v>0</v>
      </c>
      <c r="I97">
        <f t="shared" si="12"/>
        <v>0</v>
      </c>
      <c r="J97">
        <f t="shared" si="13"/>
        <v>0</v>
      </c>
      <c r="M97" s="7"/>
      <c r="N97" s="7"/>
      <c r="O97" s="7"/>
      <c r="P97" s="7"/>
      <c r="R97" s="7"/>
      <c r="S97" s="7"/>
    </row>
    <row r="98" spans="1:19" x14ac:dyDescent="0.3">
      <c r="A98" s="19">
        <v>44714</v>
      </c>
      <c r="B98" s="5" t="s">
        <v>3</v>
      </c>
      <c r="C98" s="6">
        <v>125</v>
      </c>
      <c r="D98" s="25">
        <v>44714</v>
      </c>
      <c r="E98">
        <f t="shared" si="14"/>
        <v>1</v>
      </c>
      <c r="F98">
        <f t="shared" si="15"/>
        <v>0</v>
      </c>
      <c r="G98">
        <f t="shared" ref="G98:G111" si="16">IF($B98="Other",1,0)</f>
        <v>0</v>
      </c>
      <c r="H98">
        <f t="shared" ref="H98:H111" si="17">IF($B98="Social Life",1,0)</f>
        <v>0</v>
      </c>
      <c r="I98">
        <f t="shared" ref="I98:I111" si="18">IF($B98="Apparel",1,0)</f>
        <v>0</v>
      </c>
      <c r="J98">
        <f t="shared" ref="J98:J111" si="19">IF($B98="Household",1,0)</f>
        <v>0</v>
      </c>
      <c r="M98" s="7"/>
      <c r="N98" s="7"/>
      <c r="O98" s="7"/>
      <c r="P98" s="7"/>
      <c r="R98" s="7"/>
      <c r="S98" s="7"/>
    </row>
    <row r="99" spans="1:19" x14ac:dyDescent="0.3">
      <c r="A99" s="19">
        <v>44714</v>
      </c>
      <c r="B99" s="5" t="s">
        <v>3</v>
      </c>
      <c r="C99" s="6">
        <v>150</v>
      </c>
      <c r="D99" s="25">
        <v>44714</v>
      </c>
      <c r="E99">
        <f t="shared" si="14"/>
        <v>1</v>
      </c>
      <c r="F99">
        <f t="shared" si="15"/>
        <v>0</v>
      </c>
      <c r="G99">
        <f t="shared" si="16"/>
        <v>0</v>
      </c>
      <c r="H99">
        <f t="shared" si="17"/>
        <v>0</v>
      </c>
      <c r="I99">
        <f t="shared" si="18"/>
        <v>0</v>
      </c>
      <c r="J99">
        <f t="shared" si="19"/>
        <v>0</v>
      </c>
      <c r="M99" s="7"/>
      <c r="N99" s="7"/>
      <c r="O99" s="7"/>
      <c r="P99" s="7"/>
      <c r="R99" s="7"/>
      <c r="S99" s="7"/>
    </row>
    <row r="100" spans="1:19" x14ac:dyDescent="0.3">
      <c r="A100" s="19">
        <v>44743</v>
      </c>
      <c r="B100" s="5" t="s">
        <v>3</v>
      </c>
      <c r="C100" s="6">
        <v>15</v>
      </c>
      <c r="D100" s="25">
        <v>44743</v>
      </c>
      <c r="E100">
        <f t="shared" si="14"/>
        <v>1</v>
      </c>
      <c r="F100">
        <f t="shared" si="15"/>
        <v>0</v>
      </c>
      <c r="G100">
        <f t="shared" si="16"/>
        <v>0</v>
      </c>
      <c r="H100">
        <f t="shared" si="17"/>
        <v>0</v>
      </c>
      <c r="I100">
        <f t="shared" si="18"/>
        <v>0</v>
      </c>
      <c r="J100">
        <f t="shared" si="19"/>
        <v>0</v>
      </c>
      <c r="M100" s="7"/>
      <c r="N100" s="7"/>
      <c r="O100" s="7"/>
      <c r="P100" s="7"/>
      <c r="R100" s="7"/>
      <c r="S100" s="7"/>
    </row>
    <row r="101" spans="1:19" x14ac:dyDescent="0.3">
      <c r="A101" s="19">
        <v>44744</v>
      </c>
      <c r="B101" s="5" t="s">
        <v>6</v>
      </c>
      <c r="C101" s="6">
        <v>214</v>
      </c>
      <c r="D101" s="25">
        <v>44744</v>
      </c>
      <c r="E101">
        <f t="shared" si="14"/>
        <v>0</v>
      </c>
      <c r="F101">
        <f t="shared" si="15"/>
        <v>1</v>
      </c>
      <c r="G101">
        <f t="shared" si="16"/>
        <v>0</v>
      </c>
      <c r="H101">
        <f t="shared" si="17"/>
        <v>0</v>
      </c>
      <c r="I101">
        <f t="shared" si="18"/>
        <v>0</v>
      </c>
      <c r="J101">
        <f t="shared" si="19"/>
        <v>0</v>
      </c>
      <c r="M101" s="7"/>
      <c r="N101" s="7"/>
      <c r="O101" s="7"/>
      <c r="P101" s="7"/>
      <c r="R101" s="7"/>
      <c r="S101" s="7"/>
    </row>
    <row r="102" spans="1:19" x14ac:dyDescent="0.3">
      <c r="A102" s="19">
        <v>44774</v>
      </c>
      <c r="B102" s="5" t="s">
        <v>3</v>
      </c>
      <c r="C102" s="6">
        <v>535.29999999999995</v>
      </c>
      <c r="D102" s="25">
        <v>44774</v>
      </c>
      <c r="E102">
        <f t="shared" si="14"/>
        <v>1</v>
      </c>
      <c r="F102">
        <f t="shared" si="15"/>
        <v>0</v>
      </c>
      <c r="G102">
        <f t="shared" si="16"/>
        <v>0</v>
      </c>
      <c r="H102">
        <f t="shared" si="17"/>
        <v>0</v>
      </c>
      <c r="I102">
        <f t="shared" si="18"/>
        <v>0</v>
      </c>
      <c r="J102">
        <f t="shared" si="19"/>
        <v>0</v>
      </c>
      <c r="M102" s="7"/>
      <c r="N102" s="7"/>
      <c r="O102" s="7"/>
      <c r="P102" s="7"/>
      <c r="R102" s="7"/>
      <c r="S102" s="7"/>
    </row>
    <row r="103" spans="1:19" x14ac:dyDescent="0.3">
      <c r="A103" s="19">
        <v>44835</v>
      </c>
      <c r="B103" s="5" t="s">
        <v>3</v>
      </c>
      <c r="C103" s="6">
        <v>106</v>
      </c>
      <c r="D103" s="25">
        <v>44835</v>
      </c>
      <c r="E103">
        <f t="shared" si="14"/>
        <v>1</v>
      </c>
      <c r="F103">
        <f t="shared" si="15"/>
        <v>0</v>
      </c>
      <c r="G103">
        <f t="shared" si="16"/>
        <v>0</v>
      </c>
      <c r="H103">
        <f t="shared" si="17"/>
        <v>0</v>
      </c>
      <c r="I103">
        <f t="shared" si="18"/>
        <v>0</v>
      </c>
      <c r="J103">
        <f t="shared" si="19"/>
        <v>0</v>
      </c>
      <c r="M103" s="7"/>
      <c r="N103" s="7"/>
      <c r="O103" s="7"/>
      <c r="P103" s="7"/>
      <c r="R103" s="7"/>
      <c r="S103" s="7"/>
    </row>
    <row r="104" spans="1:19" x14ac:dyDescent="0.3">
      <c r="A104" s="19">
        <v>44836</v>
      </c>
      <c r="B104" s="5" t="s">
        <v>3</v>
      </c>
      <c r="C104" s="6">
        <v>641</v>
      </c>
      <c r="D104" s="25">
        <v>44836</v>
      </c>
      <c r="E104">
        <f t="shared" si="14"/>
        <v>1</v>
      </c>
      <c r="F104">
        <f t="shared" si="15"/>
        <v>0</v>
      </c>
      <c r="G104">
        <f t="shared" si="16"/>
        <v>0</v>
      </c>
      <c r="H104">
        <f t="shared" si="17"/>
        <v>0</v>
      </c>
      <c r="I104">
        <f t="shared" si="18"/>
        <v>0</v>
      </c>
      <c r="J104">
        <f t="shared" si="19"/>
        <v>0</v>
      </c>
      <c r="M104" s="7"/>
      <c r="N104" s="7"/>
      <c r="O104" s="7"/>
      <c r="P104" s="7"/>
      <c r="R104" s="7"/>
      <c r="S104" s="7"/>
    </row>
    <row r="105" spans="1:19" x14ac:dyDescent="0.3">
      <c r="A105" s="19">
        <v>44866</v>
      </c>
      <c r="B105" s="5" t="s">
        <v>3</v>
      </c>
      <c r="C105" s="6">
        <v>135.5</v>
      </c>
      <c r="D105" s="25">
        <v>44866</v>
      </c>
      <c r="E105">
        <f t="shared" si="14"/>
        <v>1</v>
      </c>
      <c r="F105">
        <f t="shared" si="15"/>
        <v>0</v>
      </c>
      <c r="G105">
        <f t="shared" si="16"/>
        <v>0</v>
      </c>
      <c r="H105">
        <f t="shared" si="17"/>
        <v>0</v>
      </c>
      <c r="I105">
        <f t="shared" si="18"/>
        <v>0</v>
      </c>
      <c r="J105">
        <f t="shared" si="19"/>
        <v>0</v>
      </c>
      <c r="M105" s="7"/>
      <c r="N105" s="7"/>
      <c r="O105" s="7"/>
      <c r="P105" s="7"/>
      <c r="R105" s="7"/>
      <c r="S105" s="7"/>
    </row>
    <row r="106" spans="1:19" x14ac:dyDescent="0.3">
      <c r="A106" s="19">
        <v>44867</v>
      </c>
      <c r="B106" s="5" t="s">
        <v>3</v>
      </c>
      <c r="C106" s="6">
        <v>373</v>
      </c>
      <c r="D106" s="25">
        <v>44867</v>
      </c>
      <c r="E106">
        <f t="shared" si="14"/>
        <v>1</v>
      </c>
      <c r="F106">
        <f t="shared" si="15"/>
        <v>0</v>
      </c>
      <c r="G106">
        <f t="shared" si="16"/>
        <v>0</v>
      </c>
      <c r="H106">
        <f t="shared" si="17"/>
        <v>0</v>
      </c>
      <c r="I106">
        <f t="shared" si="18"/>
        <v>0</v>
      </c>
      <c r="J106">
        <f t="shared" si="19"/>
        <v>0</v>
      </c>
      <c r="M106" s="7"/>
      <c r="N106" s="7"/>
      <c r="O106" s="7"/>
      <c r="P106" s="7"/>
      <c r="R106" s="7"/>
      <c r="S106" s="7"/>
    </row>
    <row r="107" spans="1:19" x14ac:dyDescent="0.3">
      <c r="A107" s="19">
        <v>44896</v>
      </c>
      <c r="B107" s="5" t="s">
        <v>5</v>
      </c>
      <c r="C107" s="6">
        <v>479</v>
      </c>
      <c r="D107" s="25">
        <v>44896</v>
      </c>
      <c r="E107">
        <f t="shared" si="14"/>
        <v>0</v>
      </c>
      <c r="F107">
        <f t="shared" si="15"/>
        <v>0</v>
      </c>
      <c r="G107">
        <f t="shared" si="16"/>
        <v>1</v>
      </c>
      <c r="H107">
        <f t="shared" si="17"/>
        <v>0</v>
      </c>
      <c r="I107">
        <f t="shared" si="18"/>
        <v>0</v>
      </c>
      <c r="J107">
        <f t="shared" si="19"/>
        <v>0</v>
      </c>
      <c r="M107" s="7"/>
      <c r="N107" s="7"/>
      <c r="O107" s="7"/>
      <c r="P107" s="7"/>
      <c r="R107" s="7"/>
      <c r="S107" s="7"/>
    </row>
    <row r="108" spans="1:19" x14ac:dyDescent="0.3">
      <c r="A108" s="19">
        <v>44896</v>
      </c>
      <c r="B108" s="5" t="s">
        <v>3</v>
      </c>
      <c r="C108" s="6">
        <v>301.75</v>
      </c>
      <c r="D108" s="25">
        <v>44896</v>
      </c>
      <c r="E108">
        <f t="shared" si="14"/>
        <v>1</v>
      </c>
      <c r="F108">
        <f t="shared" si="15"/>
        <v>0</v>
      </c>
      <c r="G108">
        <f t="shared" si="16"/>
        <v>0</v>
      </c>
      <c r="H108">
        <f t="shared" si="17"/>
        <v>0</v>
      </c>
      <c r="I108">
        <f t="shared" si="18"/>
        <v>0</v>
      </c>
      <c r="J108">
        <f t="shared" si="19"/>
        <v>0</v>
      </c>
      <c r="M108" s="7"/>
      <c r="N108" s="7"/>
      <c r="O108" s="7"/>
      <c r="P108" s="7"/>
      <c r="R108" s="7"/>
      <c r="S108" s="7"/>
    </row>
    <row r="109" spans="1:19" x14ac:dyDescent="0.3">
      <c r="A109" s="19">
        <v>44897</v>
      </c>
      <c r="B109" s="5" t="s">
        <v>3</v>
      </c>
      <c r="C109" s="6">
        <v>491</v>
      </c>
      <c r="D109" s="25">
        <v>44897</v>
      </c>
      <c r="E109">
        <f t="shared" si="14"/>
        <v>1</v>
      </c>
      <c r="F109">
        <f t="shared" si="15"/>
        <v>0</v>
      </c>
      <c r="G109">
        <f t="shared" si="16"/>
        <v>0</v>
      </c>
      <c r="H109">
        <f t="shared" si="17"/>
        <v>0</v>
      </c>
      <c r="I109">
        <f t="shared" si="18"/>
        <v>0</v>
      </c>
      <c r="J109">
        <f t="shared" si="19"/>
        <v>0</v>
      </c>
      <c r="M109" s="7"/>
      <c r="N109" s="7"/>
      <c r="O109" s="7"/>
      <c r="P109" s="7"/>
      <c r="R109" s="7"/>
      <c r="S109" s="7"/>
    </row>
    <row r="110" spans="1:19" x14ac:dyDescent="0.3">
      <c r="A110" s="19">
        <v>44897</v>
      </c>
      <c r="B110" s="5" t="s">
        <v>4</v>
      </c>
      <c r="C110" s="6">
        <v>70</v>
      </c>
      <c r="D110" s="25">
        <v>44897</v>
      </c>
      <c r="E110">
        <f t="shared" si="14"/>
        <v>0</v>
      </c>
      <c r="F110">
        <f t="shared" si="15"/>
        <v>0</v>
      </c>
      <c r="G110">
        <f t="shared" si="16"/>
        <v>0</v>
      </c>
      <c r="H110">
        <f t="shared" si="17"/>
        <v>0</v>
      </c>
      <c r="I110">
        <f t="shared" si="18"/>
        <v>0</v>
      </c>
      <c r="J110">
        <f t="shared" si="19"/>
        <v>1</v>
      </c>
      <c r="M110" s="7"/>
      <c r="N110" s="7"/>
      <c r="O110" s="7"/>
      <c r="P110" s="7"/>
      <c r="R110" s="7"/>
      <c r="S110" s="7"/>
    </row>
    <row r="111" spans="1:19" x14ac:dyDescent="0.3">
      <c r="A111" s="19">
        <v>44897</v>
      </c>
      <c r="B111" s="5" t="s">
        <v>3</v>
      </c>
      <c r="C111" s="6">
        <v>80</v>
      </c>
      <c r="D111" s="25">
        <v>44897</v>
      </c>
      <c r="E111">
        <f t="shared" si="14"/>
        <v>1</v>
      </c>
      <c r="F111">
        <f t="shared" si="15"/>
        <v>0</v>
      </c>
      <c r="G111">
        <f t="shared" si="16"/>
        <v>0</v>
      </c>
      <c r="H111">
        <f t="shared" si="17"/>
        <v>0</v>
      </c>
      <c r="I111">
        <f t="shared" si="18"/>
        <v>0</v>
      </c>
      <c r="J111">
        <f t="shared" si="19"/>
        <v>0</v>
      </c>
      <c r="M111" s="7"/>
      <c r="N111" s="7"/>
      <c r="O111" s="7"/>
      <c r="P111" s="7"/>
      <c r="R111" s="7"/>
      <c r="S111" s="7"/>
    </row>
    <row r="112" spans="1:19" x14ac:dyDescent="0.3">
      <c r="M112" s="7"/>
      <c r="N112" s="7"/>
      <c r="O112" s="7"/>
      <c r="P112" s="7"/>
      <c r="R112" s="7"/>
      <c r="S112" s="7"/>
    </row>
    <row r="113" spans="13:19" x14ac:dyDescent="0.3">
      <c r="M113" s="7"/>
      <c r="N113" s="7"/>
      <c r="O113" s="7"/>
      <c r="P113" s="7"/>
      <c r="R113" s="7"/>
      <c r="S113" s="7"/>
    </row>
    <row r="114" spans="13:19" x14ac:dyDescent="0.3">
      <c r="M114" s="7"/>
      <c r="N114" s="7"/>
      <c r="O114" s="7"/>
      <c r="P114" s="7"/>
      <c r="R114" s="7"/>
      <c r="S114" s="7"/>
    </row>
    <row r="115" spans="13:19" x14ac:dyDescent="0.3">
      <c r="M115" s="7"/>
      <c r="N115" s="7"/>
      <c r="O115" s="7"/>
      <c r="P115" s="7"/>
      <c r="R115" s="7"/>
      <c r="S115" s="7"/>
    </row>
    <row r="116" spans="13:19" x14ac:dyDescent="0.3">
      <c r="M116" s="7"/>
      <c r="N116" s="7"/>
      <c r="O116" s="7"/>
      <c r="P116" s="7"/>
      <c r="R116" s="7"/>
      <c r="S116" s="7"/>
    </row>
    <row r="117" spans="13:19" x14ac:dyDescent="0.3">
      <c r="M117" s="7"/>
      <c r="N117" s="7"/>
      <c r="O117" s="7"/>
      <c r="P117" s="7"/>
      <c r="R117" s="7"/>
      <c r="S117" s="7"/>
    </row>
    <row r="118" spans="13:19" x14ac:dyDescent="0.3">
      <c r="M118" s="7"/>
      <c r="N118" s="7"/>
      <c r="O118" s="7"/>
      <c r="P118" s="7"/>
      <c r="R118" s="7"/>
      <c r="S118" s="7"/>
    </row>
    <row r="119" spans="13:19" x14ac:dyDescent="0.3">
      <c r="M119" s="7"/>
      <c r="N119" s="7"/>
      <c r="O119" s="7"/>
      <c r="P119" s="7"/>
      <c r="R119" s="7"/>
      <c r="S119" s="7"/>
    </row>
    <row r="120" spans="13:19" x14ac:dyDescent="0.3">
      <c r="M120" s="7"/>
      <c r="N120" s="7"/>
      <c r="O120" s="7"/>
      <c r="P120" s="7"/>
      <c r="R120" s="7"/>
      <c r="S120" s="7"/>
    </row>
    <row r="121" spans="13:19" x14ac:dyDescent="0.3">
      <c r="M121" s="7"/>
      <c r="N121" s="7"/>
      <c r="O121" s="7"/>
      <c r="P121" s="7"/>
      <c r="R121" s="7"/>
      <c r="S121" s="7"/>
    </row>
    <row r="122" spans="13:19" x14ac:dyDescent="0.3">
      <c r="M122" s="7"/>
      <c r="N122" s="7"/>
      <c r="O122" s="7"/>
      <c r="P122" s="7"/>
      <c r="R122" s="7"/>
      <c r="S122" s="7"/>
    </row>
    <row r="123" spans="13:19" x14ac:dyDescent="0.3">
      <c r="M123" s="7"/>
      <c r="N123" s="7"/>
      <c r="O123" s="7"/>
      <c r="P123" s="7"/>
      <c r="R123" s="7"/>
      <c r="S123" s="7"/>
    </row>
    <row r="124" spans="13:19" x14ac:dyDescent="0.3">
      <c r="M124" s="7"/>
      <c r="N124" s="7"/>
      <c r="O124" s="7"/>
      <c r="P124" s="7"/>
      <c r="R124" s="7"/>
      <c r="S124" s="7"/>
    </row>
    <row r="125" spans="13:19" x14ac:dyDescent="0.3">
      <c r="M125" s="7"/>
      <c r="N125" s="7"/>
      <c r="O125" s="7"/>
      <c r="P125" s="7"/>
      <c r="R125" s="7"/>
      <c r="S125" s="7"/>
    </row>
    <row r="126" spans="13:19" x14ac:dyDescent="0.3">
      <c r="M126" s="7"/>
      <c r="N126" s="7"/>
      <c r="O126" s="7"/>
      <c r="P126" s="7"/>
      <c r="R126" s="7"/>
      <c r="S126" s="7"/>
    </row>
    <row r="127" spans="13:19" x14ac:dyDescent="0.3">
      <c r="M127" s="7"/>
      <c r="N127" s="7"/>
      <c r="O127" s="7"/>
      <c r="P127" s="7"/>
      <c r="R127" s="7"/>
      <c r="S127" s="7"/>
    </row>
    <row r="128" spans="13:19" x14ac:dyDescent="0.3">
      <c r="M128" s="7"/>
      <c r="N128" s="7"/>
      <c r="O128" s="7"/>
      <c r="P128" s="7"/>
      <c r="R128" s="7"/>
      <c r="S128" s="7"/>
    </row>
    <row r="129" spans="13:19" x14ac:dyDescent="0.3">
      <c r="M129" s="7"/>
      <c r="N129" s="7"/>
      <c r="O129" s="7"/>
      <c r="P129" s="7"/>
      <c r="R129" s="7"/>
      <c r="S129" s="7"/>
    </row>
    <row r="130" spans="13:19" x14ac:dyDescent="0.3">
      <c r="M130" s="7"/>
      <c r="N130" s="7"/>
      <c r="O130" s="7"/>
      <c r="P130" s="7"/>
      <c r="R130" s="7"/>
      <c r="S130" s="7"/>
    </row>
    <row r="131" spans="13:19" x14ac:dyDescent="0.3">
      <c r="M131" s="7"/>
      <c r="N131" s="7"/>
      <c r="O131" s="7"/>
      <c r="P131" s="7"/>
      <c r="R131" s="7"/>
      <c r="S131" s="7"/>
    </row>
    <row r="132" spans="13:19" x14ac:dyDescent="0.3">
      <c r="M132" s="7"/>
      <c r="N132" s="7"/>
      <c r="O132" s="7"/>
      <c r="P132" s="7"/>
      <c r="R132" s="7"/>
      <c r="S132" s="7"/>
    </row>
    <row r="133" spans="13:19" x14ac:dyDescent="0.3">
      <c r="M133" s="7"/>
      <c r="N133" s="7"/>
      <c r="O133" s="7"/>
      <c r="P133" s="7"/>
      <c r="R133" s="7"/>
      <c r="S133" s="7"/>
    </row>
    <row r="134" spans="13:19" x14ac:dyDescent="0.3">
      <c r="M134" s="7"/>
      <c r="N134" s="7"/>
      <c r="O134" s="7"/>
      <c r="P134" s="7"/>
      <c r="R134" s="7"/>
      <c r="S134" s="7"/>
    </row>
    <row r="135" spans="13:19" x14ac:dyDescent="0.3">
      <c r="M135" s="7"/>
      <c r="N135" s="7"/>
      <c r="O135" s="7"/>
      <c r="P135" s="7"/>
      <c r="R135" s="7"/>
      <c r="S135" s="7"/>
    </row>
    <row r="136" spans="13:19" x14ac:dyDescent="0.3">
      <c r="M136" s="7"/>
      <c r="N136" s="7"/>
      <c r="O136" s="7"/>
      <c r="P136" s="7"/>
      <c r="R136" s="7"/>
      <c r="S136" s="7"/>
    </row>
    <row r="137" spans="13:19" x14ac:dyDescent="0.3">
      <c r="M137" s="7"/>
      <c r="N137" s="7"/>
      <c r="O137" s="7"/>
      <c r="P137" s="7"/>
      <c r="R137" s="7"/>
      <c r="S137" s="7"/>
    </row>
    <row r="138" spans="13:19" x14ac:dyDescent="0.3">
      <c r="M138" s="7"/>
      <c r="N138" s="7"/>
      <c r="O138" s="7"/>
      <c r="P138" s="7"/>
      <c r="R138" s="7"/>
      <c r="S138" s="7"/>
    </row>
    <row r="139" spans="13:19" ht="15" thickBot="1" x14ac:dyDescent="0.35">
      <c r="M139" s="8"/>
      <c r="N139" s="8"/>
      <c r="O139" s="8"/>
      <c r="P139" s="8"/>
      <c r="R139" s="8"/>
      <c r="S139" s="8"/>
    </row>
  </sheetData>
  <sortState ref="S31:S139">
    <sortCondition ref="S31"/>
  </sortState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zoomScale="79" zoomScaleNormal="100" workbookViewId="0">
      <selection sqref="A1:H14"/>
    </sheetView>
  </sheetViews>
  <sheetFormatPr defaultRowHeight="14.4" x14ac:dyDescent="0.3"/>
  <cols>
    <col min="2" max="2" width="15.44140625" customWidth="1"/>
    <col min="3" max="3" width="15" customWidth="1"/>
  </cols>
  <sheetData>
    <row r="1" spans="1:8" x14ac:dyDescent="0.3">
      <c r="A1" t="s">
        <v>45</v>
      </c>
      <c r="B1" t="s">
        <v>46</v>
      </c>
      <c r="C1" t="s">
        <v>49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</row>
    <row r="2" spans="1:8" x14ac:dyDescent="0.3">
      <c r="A2" s="14" t="s">
        <v>32</v>
      </c>
      <c r="B2" s="13">
        <v>8210.7000000000007</v>
      </c>
      <c r="C2">
        <v>8210.7000000000007</v>
      </c>
      <c r="D2">
        <f>B2-C2</f>
        <v>0</v>
      </c>
      <c r="E2">
        <f>AVERAGE(IFERROR((D2)^2,""))</f>
        <v>0</v>
      </c>
      <c r="F2">
        <f>SQRT(E2)</f>
        <v>0</v>
      </c>
      <c r="G2">
        <f>AVERAGE(IFERROR(ABS(D2), ""))</f>
        <v>0</v>
      </c>
      <c r="H2" t="e">
        <f>1-(SUMPRODUCT((B2-AVERAGE(B2)^2)/SUMPRODUCT((C2-AVERAGE(B2))^2)))</f>
        <v>#DIV/0!</v>
      </c>
    </row>
    <row r="3" spans="1:8" x14ac:dyDescent="0.3">
      <c r="A3" s="14" t="s">
        <v>33</v>
      </c>
      <c r="B3" s="13">
        <v>6305.5</v>
      </c>
      <c r="C3">
        <f t="shared" ref="C3:C13" si="0">(0.3*B3)+(0.7*C2)</f>
        <v>7639.1399999999994</v>
      </c>
      <c r="D3">
        <f>B3-C3</f>
        <v>-1333.6399999999994</v>
      </c>
      <c r="E3">
        <f>AVERAGE(IFERROR((D3)^2,""))</f>
        <v>1778595.6495999985</v>
      </c>
      <c r="F3">
        <f t="shared" ref="F3:F13" si="1">SQRT(E3)</f>
        <v>1333.6399999999994</v>
      </c>
      <c r="G3">
        <f>AVERAGE(IFERROR(ABS(D3), ""))</f>
        <v>1333.6399999999994</v>
      </c>
      <c r="H3">
        <f>1-(SUMPRODUCT((B3-AVERAGE(B3)^2)/SUMPRODUCT((C3-AVERAGE(B3))^2)))</f>
        <v>23.350793874335828</v>
      </c>
    </row>
    <row r="4" spans="1:8" x14ac:dyDescent="0.3">
      <c r="A4" s="14" t="s">
        <v>34</v>
      </c>
      <c r="B4" s="13">
        <v>581</v>
      </c>
      <c r="C4">
        <f t="shared" si="0"/>
        <v>5521.6979999999994</v>
      </c>
      <c r="D4">
        <f>B4-C4</f>
        <v>-4940.6979999999994</v>
      </c>
      <c r="E4">
        <f>AVERAGE(IFERROR((D4)^2,""))</f>
        <v>24410496.727203995</v>
      </c>
      <c r="F4">
        <f t="shared" si="1"/>
        <v>4940.6979999999994</v>
      </c>
      <c r="G4">
        <f>AVERAGE(IFERROR(ABS(D4), ""))</f>
        <v>4940.6979999999994</v>
      </c>
      <c r="H4">
        <f>1-(SUMPRODUCT((B4-AVERAGE(B4)^2)/SUMPRODUCT((C4-AVERAGE(B4))^2)))</f>
        <v>1.0138047170348834</v>
      </c>
    </row>
    <row r="5" spans="1:8" x14ac:dyDescent="0.3">
      <c r="A5" s="14" t="s">
        <v>35</v>
      </c>
      <c r="B5" s="13">
        <v>678</v>
      </c>
      <c r="C5">
        <f t="shared" si="0"/>
        <v>4068.5885999999996</v>
      </c>
      <c r="D5">
        <f>B5-C5</f>
        <v>-3390.5885999999996</v>
      </c>
      <c r="E5">
        <f>AVERAGE(IFERROR((D5)^2,""))</f>
        <v>11496091.054449957</v>
      </c>
      <c r="F5">
        <f t="shared" si="1"/>
        <v>3390.5885999999996</v>
      </c>
      <c r="G5">
        <f>AVERAGE(IFERROR(ABS(D5), ""))</f>
        <v>3390.5885999999996</v>
      </c>
      <c r="H5">
        <f>1-(SUMPRODUCT((B5-AVERAGE(B5)^2)/SUMPRODUCT((C5-AVERAGE(B5))^2)))</f>
        <v>1.0399271367829264</v>
      </c>
    </row>
    <row r="6" spans="1:8" x14ac:dyDescent="0.3">
      <c r="A6" s="14" t="s">
        <v>36</v>
      </c>
      <c r="B6" s="13">
        <v>1623</v>
      </c>
      <c r="C6">
        <f t="shared" si="0"/>
        <v>3334.9120199999998</v>
      </c>
      <c r="D6">
        <f>B6-C6</f>
        <v>-1711.9120199999998</v>
      </c>
      <c r="E6">
        <f>AVERAGE(IFERROR((D6)^2,""))</f>
        <v>2930642.7642204794</v>
      </c>
      <c r="F6">
        <f t="shared" si="1"/>
        <v>1711.9120199999998</v>
      </c>
      <c r="G6">
        <f>AVERAGE(IFERROR(ABS(D6), ""))</f>
        <v>1711.9120199999998</v>
      </c>
      <c r="H6">
        <f>1-(SUMPRODUCT((B6-AVERAGE(B6)^2)/SUMPRODUCT((C6-AVERAGE(B6))^2)))</f>
        <v>1.8982691551968189</v>
      </c>
    </row>
    <row r="7" spans="1:8" x14ac:dyDescent="0.3">
      <c r="A7" s="14" t="s">
        <v>37</v>
      </c>
      <c r="B7" s="13">
        <v>772</v>
      </c>
      <c r="C7">
        <f t="shared" si="0"/>
        <v>2566.0384139999996</v>
      </c>
      <c r="D7">
        <f>B7-C7</f>
        <v>-1794.0384139999996</v>
      </c>
      <c r="E7">
        <f>AVERAGE(IFERROR((D7)^2,""))</f>
        <v>3218573.830907634</v>
      </c>
      <c r="F7">
        <f t="shared" si="1"/>
        <v>1794.0384139999996</v>
      </c>
      <c r="G7">
        <f>AVERAGE(IFERROR(ABS(D7), ""))</f>
        <v>1794.0384139999996</v>
      </c>
      <c r="H7">
        <f>1-(SUMPRODUCT((B7-AVERAGE(B7)^2)/SUMPRODUCT((C7-AVERAGE(B7))^2)))</f>
        <v>1.1849303546447312</v>
      </c>
    </row>
    <row r="8" spans="1:8" x14ac:dyDescent="0.3">
      <c r="A8" s="14" t="s">
        <v>38</v>
      </c>
      <c r="B8" s="13">
        <v>360.15</v>
      </c>
      <c r="C8">
        <f t="shared" si="0"/>
        <v>1904.2718897999996</v>
      </c>
      <c r="D8">
        <f>B8-C8</f>
        <v>-1544.1218897999997</v>
      </c>
      <c r="E8">
        <f>AVERAGE(IFERROR((D8)^2,""))</f>
        <v>2384312.4105595225</v>
      </c>
      <c r="F8">
        <f t="shared" si="1"/>
        <v>1544.1218897999997</v>
      </c>
      <c r="G8">
        <f>AVERAGE(IFERROR(ABS(D8), ""))</f>
        <v>1544.1218897999997</v>
      </c>
      <c r="H8">
        <f>1-(SUMPRODUCT((B8-AVERAGE(B8)^2)/SUMPRODUCT((C8-AVERAGE(B8))^2)))</f>
        <v>1.0542495488121233</v>
      </c>
    </row>
    <row r="9" spans="1:8" x14ac:dyDescent="0.3">
      <c r="A9" s="14" t="s">
        <v>39</v>
      </c>
      <c r="B9" s="13">
        <v>148</v>
      </c>
      <c r="C9">
        <f t="shared" si="0"/>
        <v>1377.3903228599997</v>
      </c>
      <c r="D9">
        <f>B9-C9</f>
        <v>-1229.3903228599997</v>
      </c>
      <c r="E9">
        <f>AVERAGE(IFERROR((D9)^2,""))</f>
        <v>1511400.5659418143</v>
      </c>
      <c r="F9">
        <f t="shared" si="1"/>
        <v>1229.3903228599997</v>
      </c>
      <c r="G9">
        <f>AVERAGE(IFERROR(ABS(D9), ""))</f>
        <v>1229.3903228599997</v>
      </c>
      <c r="H9">
        <f>1-(SUMPRODUCT((B9-AVERAGE(B9)^2)/SUMPRODUCT((C9-AVERAGE(B9))^2)))</f>
        <v>1.0143945956421174</v>
      </c>
    </row>
    <row r="10" spans="1:8" x14ac:dyDescent="0.3">
      <c r="A10" s="14" t="s">
        <v>44</v>
      </c>
      <c r="B10" s="13">
        <f>AVERAGE(B9,B11)</f>
        <v>224</v>
      </c>
      <c r="C10">
        <f t="shared" si="0"/>
        <v>1031.3732260019997</v>
      </c>
      <c r="D10">
        <f>B10-C10</f>
        <v>-807.37322600199968</v>
      </c>
      <c r="E10">
        <f>AVERAGE(IFERROR((D10)^2,""))</f>
        <v>651851.526064876</v>
      </c>
      <c r="F10">
        <f t="shared" si="1"/>
        <v>807.37322600199968</v>
      </c>
      <c r="G10">
        <f>AVERAGE(IFERROR(ABS(D10), ""))</f>
        <v>807.37322600199968</v>
      </c>
      <c r="H10">
        <f>1-(SUMPRODUCT((B10-AVERAGE(B10)^2)/SUMPRODUCT((C10-AVERAGE(B10))^2)))</f>
        <v>1.0766309473900479</v>
      </c>
    </row>
    <row r="11" spans="1:8" x14ac:dyDescent="0.3">
      <c r="A11" s="14" t="s">
        <v>40</v>
      </c>
      <c r="B11" s="13">
        <v>300</v>
      </c>
      <c r="C11">
        <f t="shared" si="0"/>
        <v>811.96125820139969</v>
      </c>
      <c r="D11">
        <f>B11-C11</f>
        <v>-511.96125820139969</v>
      </c>
      <c r="E11">
        <f>AVERAGE(IFERROR((D11)^2,""))</f>
        <v>262104.32989916025</v>
      </c>
      <c r="F11">
        <f t="shared" si="1"/>
        <v>511.96125820139969</v>
      </c>
      <c r="G11">
        <f>AVERAGE(IFERROR(ABS(D11), ""))</f>
        <v>511.96125820139969</v>
      </c>
      <c r="H11">
        <f>1-(SUMPRODUCT((B11-AVERAGE(B11)^2)/SUMPRODUCT((C11-AVERAGE(B11))^2)))</f>
        <v>1.3422301342160596</v>
      </c>
    </row>
    <row r="12" spans="1:8" x14ac:dyDescent="0.3">
      <c r="A12" s="14" t="s">
        <v>41</v>
      </c>
      <c r="B12" s="13">
        <v>136</v>
      </c>
      <c r="C12">
        <f t="shared" si="0"/>
        <v>609.17288074097974</v>
      </c>
      <c r="D12">
        <f>B12-C12</f>
        <v>-473.17288074097974</v>
      </c>
      <c r="E12">
        <f>AVERAGE(IFERROR((D12)^2,""))</f>
        <v>223892.57506871744</v>
      </c>
      <c r="F12">
        <f t="shared" si="1"/>
        <v>473.17288074097974</v>
      </c>
      <c r="G12">
        <f>AVERAGE(IFERROR(ABS(D12), ""))</f>
        <v>473.17288074097974</v>
      </c>
      <c r="H12">
        <f>1-(SUMPRODUCT((B12-AVERAGE(B12)^2)/SUMPRODUCT((C12-AVERAGE(B12))^2)))</f>
        <v>1.0820036126448809</v>
      </c>
    </row>
    <row r="13" spans="1:8" x14ac:dyDescent="0.3">
      <c r="A13" s="14" t="s">
        <v>42</v>
      </c>
      <c r="B13" s="13">
        <v>303</v>
      </c>
      <c r="C13">
        <f t="shared" si="0"/>
        <v>517.32101651868584</v>
      </c>
      <c r="D13">
        <f>B13-C13</f>
        <v>-214.32101651868584</v>
      </c>
      <c r="E13">
        <f>AVERAGE(IFERROR((D13)^2,""))</f>
        <v>45933.49812160281</v>
      </c>
      <c r="F13">
        <f t="shared" si="1"/>
        <v>214.32101651868584</v>
      </c>
      <c r="G13">
        <f>AVERAGE(IFERROR(ABS(D13), ""))</f>
        <v>214.32101651868584</v>
      </c>
      <c r="H13">
        <f>1-(SUMPRODUCT((B13-AVERAGE(B13)^2)/SUMPRODUCT((C13-AVERAGE(B13))^2)))</f>
        <v>2.9921408937274943</v>
      </c>
    </row>
    <row r="14" spans="1:8" x14ac:dyDescent="0.3">
      <c r="A14" s="16">
        <v>44927</v>
      </c>
      <c r="B14">
        <f>(0.3*B13)+(0.7*C13)</f>
        <v>453.02471156308002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Sheet7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Dhruvi</dc:creator>
  <cp:lastModifiedBy>Dhruvi</cp:lastModifiedBy>
  <dcterms:created xsi:type="dcterms:W3CDTF">2024-08-26T07:21:50Z</dcterms:created>
  <dcterms:modified xsi:type="dcterms:W3CDTF">2024-08-29T19:33:47Z</dcterms:modified>
</cp:coreProperties>
</file>